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Polarization_measurement\Data\Test_Data_9-22-26\"/>
    </mc:Choice>
  </mc:AlternateContent>
  <xr:revisionPtr revIDLastSave="0" documentId="8_{7CCF077E-8E7D-4792-B12A-9B844E1CF224}" xr6:coauthVersionLast="47" xr6:coauthVersionMax="47" xr10:uidLastSave="{00000000-0000-0000-0000-000000000000}"/>
  <bookViews>
    <workbookView xWindow="28680" yWindow="-120" windowWidth="29040" windowHeight="15720" activeTab="1"/>
  </bookViews>
  <sheets>
    <sheet name="sample_data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2" i="2"/>
  <c r="N2" i="2"/>
  <c r="N13" i="2" s="1"/>
  <c r="M2" i="2"/>
  <c r="M7" i="2"/>
  <c r="M3" i="2"/>
  <c r="M4" i="2"/>
  <c r="M5" i="2"/>
  <c r="M6" i="2"/>
  <c r="M8" i="2"/>
  <c r="M9" i="2"/>
  <c r="M10" i="2"/>
  <c r="M11" i="2"/>
  <c r="M12" i="2"/>
  <c r="M13" i="2"/>
  <c r="M14" i="2"/>
  <c r="M15" i="2"/>
  <c r="M16" i="2"/>
  <c r="O16" i="2" s="1"/>
  <c r="M17" i="2"/>
  <c r="O17" i="2" s="1"/>
  <c r="M18" i="2"/>
  <c r="M19" i="2"/>
  <c r="O19" i="2" s="1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O39" i="2" s="1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O75" i="2" s="1"/>
  <c r="M76" i="2"/>
  <c r="M77" i="2"/>
  <c r="O77" i="2" s="1"/>
  <c r="M78" i="2"/>
  <c r="O78" i="2" s="1"/>
  <c r="M79" i="2"/>
  <c r="O79" i="2" s="1"/>
  <c r="M80" i="2"/>
  <c r="O59" i="2"/>
  <c r="O2" i="2"/>
  <c r="N4" i="2"/>
  <c r="N5" i="2"/>
  <c r="N6" i="2"/>
  <c r="N7" i="2"/>
  <c r="O7" i="2" s="1"/>
  <c r="N8" i="2"/>
  <c r="O8" i="2" s="1"/>
  <c r="N9" i="2"/>
  <c r="O9" i="2" s="1"/>
  <c r="N10" i="2"/>
  <c r="N11" i="2"/>
  <c r="N12" i="2"/>
  <c r="N14" i="2"/>
  <c r="N15" i="2"/>
  <c r="O15" i="2" s="1"/>
  <c r="N16" i="2"/>
  <c r="N17" i="2"/>
  <c r="N18" i="2"/>
  <c r="N19" i="2"/>
  <c r="N20" i="2"/>
  <c r="N21" i="2"/>
  <c r="N22" i="2"/>
  <c r="N23" i="2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N34" i="2"/>
  <c r="N35" i="2"/>
  <c r="N36" i="2"/>
  <c r="N37" i="2"/>
  <c r="N38" i="2"/>
  <c r="N39" i="2"/>
  <c r="N40" i="2"/>
  <c r="N41" i="2"/>
  <c r="N42" i="2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N51" i="2"/>
  <c r="N52" i="2"/>
  <c r="N54" i="2"/>
  <c r="N55" i="2"/>
  <c r="O55" i="2" s="1"/>
  <c r="N56" i="2"/>
  <c r="O56" i="2" s="1"/>
  <c r="N57" i="2"/>
  <c r="O57" i="2" s="1"/>
  <c r="N58" i="2"/>
  <c r="O58" i="2" s="1"/>
  <c r="N59" i="2"/>
  <c r="N60" i="2"/>
  <c r="N61" i="2"/>
  <c r="N62" i="2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N74" i="2"/>
  <c r="N75" i="2"/>
  <c r="N76" i="2"/>
  <c r="N77" i="2"/>
  <c r="N78" i="2"/>
  <c r="N79" i="2"/>
  <c r="N80" i="2"/>
  <c r="N3" i="2"/>
  <c r="O3" i="2" s="1"/>
  <c r="A75" i="2"/>
  <c r="A76" i="2"/>
  <c r="A77" i="2"/>
  <c r="A78" i="2"/>
  <c r="A79" i="2"/>
  <c r="A80" i="2"/>
  <c r="A7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K2" i="2"/>
  <c r="L2" i="2"/>
  <c r="I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2" i="2"/>
  <c r="G2" i="1"/>
  <c r="H2" i="1"/>
  <c r="G8" i="1"/>
  <c r="H8" i="1" s="1"/>
  <c r="A75" i="1"/>
  <c r="A76" i="1"/>
  <c r="A77" i="1"/>
  <c r="A78" i="1"/>
  <c r="A79" i="1"/>
  <c r="A80" i="1"/>
  <c r="A74" i="1"/>
  <c r="N73" i="2" l="1"/>
  <c r="O73" i="2" s="1"/>
  <c r="N53" i="2"/>
  <c r="O53" i="2" s="1"/>
  <c r="N33" i="2"/>
  <c r="O33" i="2" s="1"/>
  <c r="O76" i="2"/>
  <c r="O36" i="2"/>
  <c r="O35" i="2"/>
  <c r="O37" i="2"/>
  <c r="O74" i="2"/>
  <c r="O54" i="2"/>
  <c r="O34" i="2"/>
  <c r="O14" i="2"/>
  <c r="O13" i="2"/>
  <c r="O72" i="2"/>
  <c r="O52" i="2"/>
  <c r="O32" i="2"/>
  <c r="O12" i="2"/>
  <c r="O11" i="2"/>
  <c r="O51" i="2"/>
  <c r="O50" i="2"/>
  <c r="O10" i="2"/>
  <c r="O23" i="2"/>
  <c r="O18" i="2"/>
  <c r="O38" i="2"/>
  <c r="O80" i="2"/>
  <c r="O60" i="2"/>
  <c r="O40" i="2"/>
  <c r="O20" i="2"/>
  <c r="O6" i="2"/>
  <c r="O62" i="2"/>
  <c r="O42" i="2"/>
  <c r="O22" i="2"/>
  <c r="O5" i="2"/>
  <c r="O61" i="2"/>
  <c r="O41" i="2"/>
  <c r="O21" i="2"/>
  <c r="O4" i="2"/>
  <c r="G74" i="1"/>
  <c r="H74" i="1" s="1"/>
  <c r="G56" i="1"/>
  <c r="H56" i="1" s="1"/>
  <c r="G36" i="1"/>
  <c r="H36" i="1" s="1"/>
  <c r="G16" i="1"/>
  <c r="H16" i="1" s="1"/>
  <c r="G55" i="1"/>
  <c r="H55" i="1" s="1"/>
  <c r="G35" i="1"/>
  <c r="H35" i="1" s="1"/>
  <c r="G15" i="1"/>
  <c r="H15" i="1" s="1"/>
  <c r="G3" i="1"/>
  <c r="H3" i="1" s="1"/>
  <c r="G54" i="1"/>
  <c r="H54" i="1" s="1"/>
  <c r="G34" i="1"/>
  <c r="H34" i="1" s="1"/>
  <c r="G14" i="1"/>
  <c r="H14" i="1" s="1"/>
  <c r="G73" i="1"/>
  <c r="H73" i="1" s="1"/>
  <c r="G53" i="1"/>
  <c r="H53" i="1" s="1"/>
  <c r="G33" i="1"/>
  <c r="H33" i="1" s="1"/>
  <c r="G13" i="1"/>
  <c r="H13" i="1" s="1"/>
  <c r="G72" i="1"/>
  <c r="H72" i="1" s="1"/>
  <c r="G52" i="1"/>
  <c r="H52" i="1" s="1"/>
  <c r="G32" i="1"/>
  <c r="H32" i="1" s="1"/>
  <c r="G12" i="1"/>
  <c r="H12" i="1" s="1"/>
  <c r="G71" i="1"/>
  <c r="H71" i="1" s="1"/>
  <c r="G51" i="1"/>
  <c r="H51" i="1" s="1"/>
  <c r="G31" i="1"/>
  <c r="H31" i="1" s="1"/>
  <c r="G11" i="1"/>
  <c r="H11" i="1" s="1"/>
  <c r="G70" i="1"/>
  <c r="H70" i="1" s="1"/>
  <c r="G50" i="1"/>
  <c r="H50" i="1" s="1"/>
  <c r="G30" i="1"/>
  <c r="H30" i="1" s="1"/>
  <c r="G10" i="1"/>
  <c r="H10" i="1" s="1"/>
  <c r="G69" i="1"/>
  <c r="H69" i="1" s="1"/>
  <c r="G49" i="1"/>
  <c r="H49" i="1" s="1"/>
  <c r="G29" i="1"/>
  <c r="H29" i="1" s="1"/>
  <c r="G9" i="1"/>
  <c r="H9" i="1" s="1"/>
  <c r="G68" i="1"/>
  <c r="H68" i="1" s="1"/>
  <c r="G7" i="1"/>
  <c r="H7" i="1" s="1"/>
  <c r="G28" i="1"/>
  <c r="H28" i="1" s="1"/>
  <c r="G67" i="1"/>
  <c r="H67" i="1" s="1"/>
  <c r="G26" i="1"/>
  <c r="H26" i="1" s="1"/>
  <c r="G5" i="1"/>
  <c r="H5" i="1" s="1"/>
  <c r="G64" i="1"/>
  <c r="H64" i="1" s="1"/>
  <c r="G44" i="1"/>
  <c r="H44" i="1" s="1"/>
  <c r="G24" i="1"/>
  <c r="H24" i="1" s="1"/>
  <c r="G4" i="1"/>
  <c r="H4" i="1" s="1"/>
  <c r="G27" i="1"/>
  <c r="H27" i="1" s="1"/>
  <c r="G66" i="1"/>
  <c r="H66" i="1" s="1"/>
  <c r="G46" i="1"/>
  <c r="H46" i="1" s="1"/>
  <c r="G25" i="1"/>
  <c r="H25" i="1" s="1"/>
  <c r="G63" i="1"/>
  <c r="H63" i="1" s="1"/>
  <c r="G43" i="1"/>
  <c r="H43" i="1" s="1"/>
  <c r="G23" i="1"/>
  <c r="H23" i="1" s="1"/>
  <c r="G80" i="1"/>
  <c r="H80" i="1" s="1"/>
  <c r="G48" i="1"/>
  <c r="H48" i="1" s="1"/>
  <c r="G47" i="1"/>
  <c r="H47" i="1" s="1"/>
  <c r="G6" i="1"/>
  <c r="H6" i="1" s="1"/>
  <c r="G65" i="1"/>
  <c r="H65" i="1" s="1"/>
  <c r="G45" i="1"/>
  <c r="H45" i="1" s="1"/>
  <c r="G62" i="1"/>
  <c r="H62" i="1" s="1"/>
  <c r="G42" i="1"/>
  <c r="H42" i="1" s="1"/>
  <c r="G22" i="1"/>
  <c r="H22" i="1" s="1"/>
  <c r="G79" i="1"/>
  <c r="H79" i="1" s="1"/>
  <c r="G61" i="1"/>
  <c r="H61" i="1" s="1"/>
  <c r="G41" i="1"/>
  <c r="H41" i="1" s="1"/>
  <c r="G21" i="1"/>
  <c r="H21" i="1" s="1"/>
  <c r="G78" i="1"/>
  <c r="H78" i="1" s="1"/>
  <c r="G60" i="1"/>
  <c r="H60" i="1" s="1"/>
  <c r="G40" i="1"/>
  <c r="H40" i="1" s="1"/>
  <c r="G20" i="1"/>
  <c r="H20" i="1" s="1"/>
  <c r="G77" i="1"/>
  <c r="H77" i="1" s="1"/>
  <c r="G59" i="1"/>
  <c r="H59" i="1" s="1"/>
  <c r="G39" i="1"/>
  <c r="H39" i="1" s="1"/>
  <c r="G19" i="1"/>
  <c r="H19" i="1" s="1"/>
  <c r="G76" i="1"/>
  <c r="H76" i="1" s="1"/>
  <c r="G38" i="1"/>
  <c r="H38" i="1" s="1"/>
  <c r="G75" i="1"/>
  <c r="H75" i="1" s="1"/>
  <c r="G58" i="1"/>
  <c r="H58" i="1" s="1"/>
  <c r="G18" i="1"/>
  <c r="H18" i="1" s="1"/>
  <c r="G57" i="1"/>
  <c r="H57" i="1" s="1"/>
  <c r="G37" i="1"/>
  <c r="H37" i="1" s="1"/>
  <c r="G17" i="1"/>
  <c r="H17" i="1" s="1"/>
</calcChain>
</file>

<file path=xl/sharedStrings.xml><?xml version="1.0" encoding="utf-8"?>
<sst xmlns="http://schemas.openxmlformats.org/spreadsheetml/2006/main" count="5" uniqueCount="3">
  <si>
    <t>Angle (degrees)</t>
  </si>
  <si>
    <t>Voltage (V)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</si>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</sst>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sample_data!$B$2:$B$80</c:f>
              <c:numCache>
                <c:formatCode>General</c:formatCode>
                <c:ptCount val="79"/>
                <c:pt idx="0">
                  <c:v>0.47545787545787499</c:v>
                </c:pt>
                <c:pt idx="1">
                  <c:v>0.47465201465201401</c:v>
                </c:pt>
                <c:pt idx="2">
                  <c:v>0.49963369963369902</c:v>
                </c:pt>
                <c:pt idx="3">
                  <c:v>0.502857142857142</c:v>
                </c:pt>
                <c:pt idx="4">
                  <c:v>0.49641025641025599</c:v>
                </c:pt>
                <c:pt idx="5">
                  <c:v>0.48512820512820498</c:v>
                </c:pt>
                <c:pt idx="6">
                  <c:v>0.47706959706959701</c:v>
                </c:pt>
                <c:pt idx="7">
                  <c:v>0.44644688644688602</c:v>
                </c:pt>
                <c:pt idx="8">
                  <c:v>0.42227106227106198</c:v>
                </c:pt>
                <c:pt idx="9">
                  <c:v>0.38358974358974302</c:v>
                </c:pt>
                <c:pt idx="10">
                  <c:v>0.353772893772893</c:v>
                </c:pt>
                <c:pt idx="11">
                  <c:v>0.314285714285714</c:v>
                </c:pt>
                <c:pt idx="12">
                  <c:v>0.27802197802197798</c:v>
                </c:pt>
                <c:pt idx="13">
                  <c:v>0.24175824175824101</c:v>
                </c:pt>
                <c:pt idx="14">
                  <c:v>0.20630036630036599</c:v>
                </c:pt>
                <c:pt idx="15">
                  <c:v>0.178095238095238</c:v>
                </c:pt>
                <c:pt idx="16">
                  <c:v>0.144249084249084</c:v>
                </c:pt>
                <c:pt idx="17">
                  <c:v>0.117655677655677</c:v>
                </c:pt>
                <c:pt idx="18">
                  <c:v>9.8315018315018293E-2</c:v>
                </c:pt>
                <c:pt idx="19">
                  <c:v>7.9780219780219694E-2</c:v>
                </c:pt>
                <c:pt idx="20">
                  <c:v>6.7692307692307593E-2</c:v>
                </c:pt>
                <c:pt idx="21">
                  <c:v>6.1245421245421199E-2</c:v>
                </c:pt>
                <c:pt idx="22">
                  <c:v>6.4468864468864406E-2</c:v>
                </c:pt>
                <c:pt idx="23">
                  <c:v>7.8974358974358894E-2</c:v>
                </c:pt>
                <c:pt idx="24">
                  <c:v>9.2673992673992595E-2</c:v>
                </c:pt>
                <c:pt idx="25">
                  <c:v>0.12007326007326</c:v>
                </c:pt>
                <c:pt idx="26">
                  <c:v>0.144249084249084</c:v>
                </c:pt>
                <c:pt idx="27">
                  <c:v>0.17406593406593401</c:v>
                </c:pt>
                <c:pt idx="28">
                  <c:v>0.209523809523809</c:v>
                </c:pt>
                <c:pt idx="29">
                  <c:v>0.24095238095238</c:v>
                </c:pt>
                <c:pt idx="30">
                  <c:v>0.28043956043955998</c:v>
                </c:pt>
                <c:pt idx="31">
                  <c:v>0.321538461538461</c:v>
                </c:pt>
                <c:pt idx="32">
                  <c:v>0.35457875457875399</c:v>
                </c:pt>
                <c:pt idx="33">
                  <c:v>0.39164835164835099</c:v>
                </c:pt>
                <c:pt idx="34">
                  <c:v>0.41582417582417502</c:v>
                </c:pt>
                <c:pt idx="35">
                  <c:v>0.44161172161172102</c:v>
                </c:pt>
                <c:pt idx="36">
                  <c:v>0.46417582417582398</c:v>
                </c:pt>
                <c:pt idx="37">
                  <c:v>0.47868131868131802</c:v>
                </c:pt>
                <c:pt idx="38">
                  <c:v>0.48996336996336898</c:v>
                </c:pt>
                <c:pt idx="39">
                  <c:v>0.489157509157509</c:v>
                </c:pt>
                <c:pt idx="40">
                  <c:v>0.48835164835164802</c:v>
                </c:pt>
                <c:pt idx="41">
                  <c:v>0.47787545787545699</c:v>
                </c:pt>
                <c:pt idx="42">
                  <c:v>0.45772893772893702</c:v>
                </c:pt>
                <c:pt idx="43">
                  <c:v>0.43919413919413902</c:v>
                </c:pt>
                <c:pt idx="44">
                  <c:v>0.402930402930402</c:v>
                </c:pt>
                <c:pt idx="45">
                  <c:v>0.37391941391941302</c:v>
                </c:pt>
                <c:pt idx="46">
                  <c:v>0.342490842490842</c:v>
                </c:pt>
                <c:pt idx="47">
                  <c:v>0.30300366300366299</c:v>
                </c:pt>
                <c:pt idx="48">
                  <c:v>0.26432234432234403</c:v>
                </c:pt>
                <c:pt idx="49">
                  <c:v>0.23047619047619</c:v>
                </c:pt>
                <c:pt idx="50">
                  <c:v>0.196630036630036</c:v>
                </c:pt>
                <c:pt idx="51">
                  <c:v>0.17084249084249001</c:v>
                </c:pt>
                <c:pt idx="52">
                  <c:v>0.13457875457875401</c:v>
                </c:pt>
                <c:pt idx="53">
                  <c:v>0.108791208791208</c:v>
                </c:pt>
                <c:pt idx="54">
                  <c:v>9.2673992673992595E-2</c:v>
                </c:pt>
                <c:pt idx="55">
                  <c:v>8.2197802197802095E-2</c:v>
                </c:pt>
                <c:pt idx="56">
                  <c:v>6.9304029304029305E-2</c:v>
                </c:pt>
                <c:pt idx="57">
                  <c:v>6.3663003663003606E-2</c:v>
                </c:pt>
                <c:pt idx="58">
                  <c:v>6.7692307692307593E-2</c:v>
                </c:pt>
                <c:pt idx="59">
                  <c:v>8.0586080586080494E-2</c:v>
                </c:pt>
                <c:pt idx="60">
                  <c:v>9.3479853479853395E-2</c:v>
                </c:pt>
                <c:pt idx="61">
                  <c:v>0.113626373626373</c:v>
                </c:pt>
                <c:pt idx="62">
                  <c:v>0.13699633699633701</c:v>
                </c:pt>
                <c:pt idx="63">
                  <c:v>0.167619047619047</c:v>
                </c:pt>
                <c:pt idx="64">
                  <c:v>0.20307692307692299</c:v>
                </c:pt>
                <c:pt idx="65">
                  <c:v>0.22967032967032899</c:v>
                </c:pt>
                <c:pt idx="66">
                  <c:v>0.27399267399267402</c:v>
                </c:pt>
                <c:pt idx="67">
                  <c:v>0.31509157509157498</c:v>
                </c:pt>
                <c:pt idx="68">
                  <c:v>0.34652014652014601</c:v>
                </c:pt>
                <c:pt idx="69">
                  <c:v>0.38358974358974302</c:v>
                </c:pt>
                <c:pt idx="70">
                  <c:v>0.41340659340659303</c:v>
                </c:pt>
                <c:pt idx="71">
                  <c:v>0.43435897435897403</c:v>
                </c:pt>
                <c:pt idx="72">
                  <c:v>0.46256410256410202</c:v>
                </c:pt>
                <c:pt idx="73">
                  <c:v>0.47465201465201401</c:v>
                </c:pt>
                <c:pt idx="74">
                  <c:v>0.48754578754578698</c:v>
                </c:pt>
                <c:pt idx="75">
                  <c:v>0.486739926739926</c:v>
                </c:pt>
                <c:pt idx="76">
                  <c:v>0.48593406593406502</c:v>
                </c:pt>
                <c:pt idx="77">
                  <c:v>0.47384615384615297</c:v>
                </c:pt>
                <c:pt idx="78">
                  <c:v>0.46256410256410202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E-4653-ADBC-7F97A75FE85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sample_data!$C$2:$C$80</c:f>
              <c:numCache>
                <c:formatCode>General</c:formatCode>
                <c:ptCount val="79"/>
                <c:pt idx="0">
                  <c:v>0.47384615384615297</c:v>
                </c:pt>
                <c:pt idx="1">
                  <c:v>0.49076923076923001</c:v>
                </c:pt>
                <c:pt idx="2">
                  <c:v>0.502857142857142</c:v>
                </c:pt>
                <c:pt idx="3">
                  <c:v>0.49721611721611703</c:v>
                </c:pt>
                <c:pt idx="4">
                  <c:v>0.49479853479853397</c:v>
                </c:pt>
                <c:pt idx="5">
                  <c:v>0.48754578754578698</c:v>
                </c:pt>
                <c:pt idx="6">
                  <c:v>0.47626373626373603</c:v>
                </c:pt>
                <c:pt idx="7">
                  <c:v>0.44644688644688602</c:v>
                </c:pt>
                <c:pt idx="8">
                  <c:v>0.42065934065934002</c:v>
                </c:pt>
                <c:pt idx="9">
                  <c:v>0.38842490842490801</c:v>
                </c:pt>
                <c:pt idx="10">
                  <c:v>0.353772893772893</c:v>
                </c:pt>
                <c:pt idx="11">
                  <c:v>0.31267399267399199</c:v>
                </c:pt>
                <c:pt idx="12">
                  <c:v>0.279633699633699</c:v>
                </c:pt>
                <c:pt idx="13">
                  <c:v>0.243369963369963</c:v>
                </c:pt>
                <c:pt idx="14">
                  <c:v>0.21113553113553099</c:v>
                </c:pt>
                <c:pt idx="15">
                  <c:v>0.17890109890109801</c:v>
                </c:pt>
                <c:pt idx="16">
                  <c:v>0.144249084249084</c:v>
                </c:pt>
                <c:pt idx="17">
                  <c:v>0.117655677655677</c:v>
                </c:pt>
                <c:pt idx="18">
                  <c:v>9.3479853479853395E-2</c:v>
                </c:pt>
                <c:pt idx="19">
                  <c:v>7.8168498168498093E-2</c:v>
                </c:pt>
                <c:pt idx="20">
                  <c:v>6.8498168498168505E-2</c:v>
                </c:pt>
                <c:pt idx="21">
                  <c:v>6.5274725274725207E-2</c:v>
                </c:pt>
                <c:pt idx="22">
                  <c:v>7.0109890109890105E-2</c:v>
                </c:pt>
                <c:pt idx="23">
                  <c:v>7.6556776556776507E-2</c:v>
                </c:pt>
                <c:pt idx="24">
                  <c:v>9.2673992673992595E-2</c:v>
                </c:pt>
                <c:pt idx="25">
                  <c:v>0.113626373626373</c:v>
                </c:pt>
                <c:pt idx="26">
                  <c:v>0.14505494505494501</c:v>
                </c:pt>
                <c:pt idx="27">
                  <c:v>0.167619047619047</c:v>
                </c:pt>
                <c:pt idx="28">
                  <c:v>0.20227106227106201</c:v>
                </c:pt>
                <c:pt idx="29">
                  <c:v>0.23692307692307599</c:v>
                </c:pt>
                <c:pt idx="30">
                  <c:v>0.27560439560439498</c:v>
                </c:pt>
                <c:pt idx="31">
                  <c:v>0.316703296703296</c:v>
                </c:pt>
                <c:pt idx="32">
                  <c:v>0.35538461538461502</c:v>
                </c:pt>
                <c:pt idx="33">
                  <c:v>0.39245421245421203</c:v>
                </c:pt>
                <c:pt idx="34">
                  <c:v>0.42065934065934002</c:v>
                </c:pt>
                <c:pt idx="35">
                  <c:v>0.44322344322344298</c:v>
                </c:pt>
                <c:pt idx="36">
                  <c:v>0.46095238095238</c:v>
                </c:pt>
                <c:pt idx="37">
                  <c:v>0.479487179487179</c:v>
                </c:pt>
                <c:pt idx="38">
                  <c:v>0.486739926739926</c:v>
                </c:pt>
                <c:pt idx="39">
                  <c:v>0.49238095238095198</c:v>
                </c:pt>
                <c:pt idx="40">
                  <c:v>0.48271062271062198</c:v>
                </c:pt>
                <c:pt idx="41">
                  <c:v>0.47706959706959701</c:v>
                </c:pt>
                <c:pt idx="42">
                  <c:v>0.45611721611721601</c:v>
                </c:pt>
                <c:pt idx="43">
                  <c:v>0.43516483516483501</c:v>
                </c:pt>
                <c:pt idx="44">
                  <c:v>0.40776556776556699</c:v>
                </c:pt>
                <c:pt idx="45">
                  <c:v>0.37794871794871698</c:v>
                </c:pt>
                <c:pt idx="46">
                  <c:v>0.33604395604395598</c:v>
                </c:pt>
                <c:pt idx="47">
                  <c:v>0.30219780219780201</c:v>
                </c:pt>
                <c:pt idx="48">
                  <c:v>0.26271062271062201</c:v>
                </c:pt>
                <c:pt idx="49">
                  <c:v>0.22886446886446801</c:v>
                </c:pt>
                <c:pt idx="50">
                  <c:v>0.19501831501831399</c:v>
                </c:pt>
                <c:pt idx="51">
                  <c:v>0.16439560439560399</c:v>
                </c:pt>
                <c:pt idx="52">
                  <c:v>0.13780219780219699</c:v>
                </c:pt>
                <c:pt idx="53">
                  <c:v>0.109597069597069</c:v>
                </c:pt>
                <c:pt idx="54">
                  <c:v>9.1062271062270994E-2</c:v>
                </c:pt>
                <c:pt idx="55">
                  <c:v>7.8974358974358894E-2</c:v>
                </c:pt>
                <c:pt idx="56">
                  <c:v>6.8498168498168505E-2</c:v>
                </c:pt>
                <c:pt idx="57">
                  <c:v>6.4468864468864406E-2</c:v>
                </c:pt>
                <c:pt idx="58">
                  <c:v>6.8498168498168505E-2</c:v>
                </c:pt>
                <c:pt idx="59">
                  <c:v>7.4139194139194106E-2</c:v>
                </c:pt>
                <c:pt idx="60">
                  <c:v>9.1868131868131794E-2</c:v>
                </c:pt>
                <c:pt idx="61">
                  <c:v>0.11040293040293001</c:v>
                </c:pt>
                <c:pt idx="62">
                  <c:v>0.13538461538461499</c:v>
                </c:pt>
                <c:pt idx="63">
                  <c:v>0.16278388278388201</c:v>
                </c:pt>
                <c:pt idx="64">
                  <c:v>0.203882783882783</c:v>
                </c:pt>
                <c:pt idx="65">
                  <c:v>0.237728937728937</c:v>
                </c:pt>
                <c:pt idx="66">
                  <c:v>0.27560439560439498</c:v>
                </c:pt>
                <c:pt idx="67">
                  <c:v>0.31347985347985302</c:v>
                </c:pt>
                <c:pt idx="68">
                  <c:v>0.34410256410256401</c:v>
                </c:pt>
                <c:pt idx="69">
                  <c:v>0.37794871794871698</c:v>
                </c:pt>
                <c:pt idx="70">
                  <c:v>0.405347985347985</c:v>
                </c:pt>
                <c:pt idx="71">
                  <c:v>0.43677655677655602</c:v>
                </c:pt>
                <c:pt idx="72">
                  <c:v>0.45692307692307599</c:v>
                </c:pt>
                <c:pt idx="73">
                  <c:v>0.48029304029303999</c:v>
                </c:pt>
                <c:pt idx="74">
                  <c:v>0.48271062271062198</c:v>
                </c:pt>
                <c:pt idx="75">
                  <c:v>0.48835164835164802</c:v>
                </c:pt>
                <c:pt idx="76">
                  <c:v>0.48996336996336898</c:v>
                </c:pt>
                <c:pt idx="77">
                  <c:v>0.47062271062270999</c:v>
                </c:pt>
                <c:pt idx="78">
                  <c:v>0.46095238095238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E-4653-ADBC-7F97A75FE85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sample_data!$D$2:$D$80</c:f>
              <c:numCache>
                <c:formatCode>General</c:formatCode>
                <c:ptCount val="79"/>
                <c:pt idx="0">
                  <c:v>0.47142857142857097</c:v>
                </c:pt>
                <c:pt idx="1">
                  <c:v>0.489157509157509</c:v>
                </c:pt>
                <c:pt idx="2">
                  <c:v>0.502857142857142</c:v>
                </c:pt>
                <c:pt idx="3">
                  <c:v>0.50446886446886396</c:v>
                </c:pt>
                <c:pt idx="4">
                  <c:v>0.486739926739926</c:v>
                </c:pt>
                <c:pt idx="5">
                  <c:v>0.481904761904761</c:v>
                </c:pt>
                <c:pt idx="6">
                  <c:v>0.47626373626373603</c:v>
                </c:pt>
                <c:pt idx="7">
                  <c:v>0.43194139194139097</c:v>
                </c:pt>
                <c:pt idx="8">
                  <c:v>0.419047619047619</c:v>
                </c:pt>
                <c:pt idx="9">
                  <c:v>0.38520146520146498</c:v>
                </c:pt>
                <c:pt idx="10">
                  <c:v>0.35054945054945003</c:v>
                </c:pt>
                <c:pt idx="11">
                  <c:v>0.30783882783882699</c:v>
                </c:pt>
                <c:pt idx="12">
                  <c:v>0.27802197802197798</c:v>
                </c:pt>
                <c:pt idx="13">
                  <c:v>0.24417582417582401</c:v>
                </c:pt>
                <c:pt idx="14">
                  <c:v>0.203882783882783</c:v>
                </c:pt>
                <c:pt idx="15">
                  <c:v>0.17326007326007301</c:v>
                </c:pt>
                <c:pt idx="16">
                  <c:v>0.141025641025641</c:v>
                </c:pt>
                <c:pt idx="17">
                  <c:v>0.116043956043956</c:v>
                </c:pt>
                <c:pt idx="18">
                  <c:v>9.9120879120879093E-2</c:v>
                </c:pt>
                <c:pt idx="19">
                  <c:v>7.8168498168498093E-2</c:v>
                </c:pt>
                <c:pt idx="20">
                  <c:v>7.2527472527472506E-2</c:v>
                </c:pt>
                <c:pt idx="21">
                  <c:v>6.4468864468864406E-2</c:v>
                </c:pt>
                <c:pt idx="22">
                  <c:v>6.7692307692307593E-2</c:v>
                </c:pt>
                <c:pt idx="23">
                  <c:v>7.8974358974358894E-2</c:v>
                </c:pt>
                <c:pt idx="24">
                  <c:v>9.1062271062270994E-2</c:v>
                </c:pt>
                <c:pt idx="25">
                  <c:v>0.113626373626373</c:v>
                </c:pt>
                <c:pt idx="26">
                  <c:v>0.13699633699633701</c:v>
                </c:pt>
                <c:pt idx="27">
                  <c:v>0.17084249084249001</c:v>
                </c:pt>
                <c:pt idx="28">
                  <c:v>0.20791208791208701</c:v>
                </c:pt>
                <c:pt idx="29">
                  <c:v>0.238534798534798</c:v>
                </c:pt>
                <c:pt idx="30">
                  <c:v>0.277216117216117</c:v>
                </c:pt>
                <c:pt idx="31">
                  <c:v>0.32073260073260002</c:v>
                </c:pt>
                <c:pt idx="32">
                  <c:v>0.361025641025641</c:v>
                </c:pt>
                <c:pt idx="33">
                  <c:v>0.38278388278388198</c:v>
                </c:pt>
                <c:pt idx="34">
                  <c:v>0.41582417582417502</c:v>
                </c:pt>
                <c:pt idx="35">
                  <c:v>0.444835164835164</c:v>
                </c:pt>
                <c:pt idx="36">
                  <c:v>0.46175824175824098</c:v>
                </c:pt>
                <c:pt idx="37">
                  <c:v>0.47384615384615297</c:v>
                </c:pt>
                <c:pt idx="38">
                  <c:v>0.48512820512820498</c:v>
                </c:pt>
                <c:pt idx="39">
                  <c:v>0.48996336996336898</c:v>
                </c:pt>
                <c:pt idx="40">
                  <c:v>0.48351648351648302</c:v>
                </c:pt>
                <c:pt idx="41">
                  <c:v>0.47545787545787499</c:v>
                </c:pt>
                <c:pt idx="42">
                  <c:v>0.45611721611721601</c:v>
                </c:pt>
                <c:pt idx="43">
                  <c:v>0.42871794871794799</c:v>
                </c:pt>
                <c:pt idx="44">
                  <c:v>0.40857142857142797</c:v>
                </c:pt>
                <c:pt idx="45">
                  <c:v>0.37553113553113499</c:v>
                </c:pt>
                <c:pt idx="46">
                  <c:v>0.34007326007326</c:v>
                </c:pt>
                <c:pt idx="47">
                  <c:v>0.298168498168498</c:v>
                </c:pt>
                <c:pt idx="48">
                  <c:v>0.26593406593406499</c:v>
                </c:pt>
                <c:pt idx="49">
                  <c:v>0.22967032967032899</c:v>
                </c:pt>
                <c:pt idx="50">
                  <c:v>0.19743589743589701</c:v>
                </c:pt>
                <c:pt idx="51">
                  <c:v>0.165201465201465</c:v>
                </c:pt>
                <c:pt idx="52">
                  <c:v>0.133772893772893</c:v>
                </c:pt>
                <c:pt idx="53">
                  <c:v>0.113626373626373</c:v>
                </c:pt>
                <c:pt idx="54">
                  <c:v>9.2673992673992595E-2</c:v>
                </c:pt>
                <c:pt idx="55">
                  <c:v>8.3809523809523806E-2</c:v>
                </c:pt>
                <c:pt idx="56">
                  <c:v>6.7692307692307593E-2</c:v>
                </c:pt>
                <c:pt idx="57">
                  <c:v>6.5274725274725207E-2</c:v>
                </c:pt>
                <c:pt idx="58">
                  <c:v>6.4468864468864406E-2</c:v>
                </c:pt>
                <c:pt idx="59">
                  <c:v>8.1391941391941294E-2</c:v>
                </c:pt>
                <c:pt idx="60">
                  <c:v>8.4615384615384606E-2</c:v>
                </c:pt>
                <c:pt idx="61">
                  <c:v>0.116043956043956</c:v>
                </c:pt>
                <c:pt idx="62">
                  <c:v>0.132967032967032</c:v>
                </c:pt>
                <c:pt idx="63">
                  <c:v>0.16842490842490801</c:v>
                </c:pt>
                <c:pt idx="64">
                  <c:v>0.20307692307692299</c:v>
                </c:pt>
                <c:pt idx="65">
                  <c:v>0.24014652014651999</c:v>
                </c:pt>
                <c:pt idx="66">
                  <c:v>0.274798534798534</c:v>
                </c:pt>
                <c:pt idx="67">
                  <c:v>0.31267399267399199</c:v>
                </c:pt>
                <c:pt idx="68">
                  <c:v>0.342490842490842</c:v>
                </c:pt>
                <c:pt idx="69">
                  <c:v>0.379560439560439</c:v>
                </c:pt>
                <c:pt idx="70">
                  <c:v>0.40373626373626298</c:v>
                </c:pt>
                <c:pt idx="71">
                  <c:v>0.43838827838827799</c:v>
                </c:pt>
                <c:pt idx="72">
                  <c:v>0.45934065934065899</c:v>
                </c:pt>
                <c:pt idx="73">
                  <c:v>0.47384615384615297</c:v>
                </c:pt>
                <c:pt idx="74">
                  <c:v>0.481904761904761</c:v>
                </c:pt>
                <c:pt idx="75">
                  <c:v>0.486739926739926</c:v>
                </c:pt>
                <c:pt idx="76">
                  <c:v>0.48835164835164802</c:v>
                </c:pt>
                <c:pt idx="77">
                  <c:v>0.48029304029303999</c:v>
                </c:pt>
                <c:pt idx="78">
                  <c:v>0.46417582417582398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E-4653-ADBC-7F97A75FE85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sample_data!$E$2:$E$80</c:f>
              <c:numCache>
                <c:formatCode>General</c:formatCode>
                <c:ptCount val="79"/>
                <c:pt idx="0">
                  <c:v>0.46417582417582398</c:v>
                </c:pt>
                <c:pt idx="1">
                  <c:v>0.49157509157509099</c:v>
                </c:pt>
                <c:pt idx="2">
                  <c:v>0.50446886446886396</c:v>
                </c:pt>
                <c:pt idx="3">
                  <c:v>0.50043956043955995</c:v>
                </c:pt>
                <c:pt idx="4">
                  <c:v>0.50124542124542104</c:v>
                </c:pt>
                <c:pt idx="5">
                  <c:v>0.49641025641025599</c:v>
                </c:pt>
                <c:pt idx="6">
                  <c:v>0.47223443223443201</c:v>
                </c:pt>
                <c:pt idx="7">
                  <c:v>0.43032967032967001</c:v>
                </c:pt>
                <c:pt idx="8">
                  <c:v>0.419047619047619</c:v>
                </c:pt>
                <c:pt idx="9">
                  <c:v>0.38520146520146498</c:v>
                </c:pt>
                <c:pt idx="10">
                  <c:v>0.35135531135531101</c:v>
                </c:pt>
                <c:pt idx="11">
                  <c:v>0.31267399267399199</c:v>
                </c:pt>
                <c:pt idx="12">
                  <c:v>0.28043956043955998</c:v>
                </c:pt>
                <c:pt idx="13">
                  <c:v>0.24417582417582401</c:v>
                </c:pt>
                <c:pt idx="14">
                  <c:v>0.203882783882783</c:v>
                </c:pt>
                <c:pt idx="15">
                  <c:v>0.178095238095238</c:v>
                </c:pt>
                <c:pt idx="16">
                  <c:v>0.14586080586080499</c:v>
                </c:pt>
                <c:pt idx="17">
                  <c:v>0.11846153846153799</c:v>
                </c:pt>
                <c:pt idx="18">
                  <c:v>9.5897435897435795E-2</c:v>
                </c:pt>
                <c:pt idx="19">
                  <c:v>8.0586080586080494E-2</c:v>
                </c:pt>
                <c:pt idx="20">
                  <c:v>6.8498168498168505E-2</c:v>
                </c:pt>
                <c:pt idx="21">
                  <c:v>6.6886446886446793E-2</c:v>
                </c:pt>
                <c:pt idx="22">
                  <c:v>7.0109890109890105E-2</c:v>
                </c:pt>
                <c:pt idx="23">
                  <c:v>7.8974358974358894E-2</c:v>
                </c:pt>
                <c:pt idx="24">
                  <c:v>8.8644688644688593E-2</c:v>
                </c:pt>
                <c:pt idx="25">
                  <c:v>0.116043956043956</c:v>
                </c:pt>
                <c:pt idx="26">
                  <c:v>0.141025641025641</c:v>
                </c:pt>
                <c:pt idx="27">
                  <c:v>0.17164835164835099</c:v>
                </c:pt>
                <c:pt idx="28">
                  <c:v>0.20871794871794799</c:v>
                </c:pt>
                <c:pt idx="29">
                  <c:v>0.243369963369963</c:v>
                </c:pt>
                <c:pt idx="30">
                  <c:v>0.279633699633699</c:v>
                </c:pt>
                <c:pt idx="31">
                  <c:v>0.321538461538461</c:v>
                </c:pt>
                <c:pt idx="32">
                  <c:v>0.353772893772893</c:v>
                </c:pt>
                <c:pt idx="33">
                  <c:v>0.384395604395604</c:v>
                </c:pt>
                <c:pt idx="34">
                  <c:v>0.41824175824175802</c:v>
                </c:pt>
                <c:pt idx="35">
                  <c:v>0.44161172161172102</c:v>
                </c:pt>
                <c:pt idx="36">
                  <c:v>0.46417582417582398</c:v>
                </c:pt>
                <c:pt idx="37">
                  <c:v>0.47545787545787499</c:v>
                </c:pt>
                <c:pt idx="38">
                  <c:v>0.486739926739926</c:v>
                </c:pt>
                <c:pt idx="39">
                  <c:v>0.48835164835164802</c:v>
                </c:pt>
                <c:pt idx="40">
                  <c:v>0.486739926739926</c:v>
                </c:pt>
                <c:pt idx="41">
                  <c:v>0.47384615384615297</c:v>
                </c:pt>
                <c:pt idx="42">
                  <c:v>0.45531135531135503</c:v>
                </c:pt>
                <c:pt idx="43">
                  <c:v>0.43355311355311299</c:v>
                </c:pt>
                <c:pt idx="44">
                  <c:v>0.40212454212454202</c:v>
                </c:pt>
                <c:pt idx="45">
                  <c:v>0.37391941391941302</c:v>
                </c:pt>
                <c:pt idx="46">
                  <c:v>0.33846153846153798</c:v>
                </c:pt>
                <c:pt idx="47">
                  <c:v>0.30300366300366299</c:v>
                </c:pt>
                <c:pt idx="48">
                  <c:v>0.26271062271062201</c:v>
                </c:pt>
                <c:pt idx="49">
                  <c:v>0.23047619047619</c:v>
                </c:pt>
                <c:pt idx="50">
                  <c:v>0.195824175824175</c:v>
                </c:pt>
                <c:pt idx="51">
                  <c:v>0.165201465201465</c:v>
                </c:pt>
                <c:pt idx="52">
                  <c:v>0.13941391941391901</c:v>
                </c:pt>
                <c:pt idx="53">
                  <c:v>0.111208791208791</c:v>
                </c:pt>
                <c:pt idx="54">
                  <c:v>9.8315018315018293E-2</c:v>
                </c:pt>
                <c:pt idx="55">
                  <c:v>7.5750915750915707E-2</c:v>
                </c:pt>
                <c:pt idx="56">
                  <c:v>6.5274725274725207E-2</c:v>
                </c:pt>
                <c:pt idx="57">
                  <c:v>5.8021978021977998E-2</c:v>
                </c:pt>
                <c:pt idx="58">
                  <c:v>6.9304029304029305E-2</c:v>
                </c:pt>
                <c:pt idx="59">
                  <c:v>7.9780219780219694E-2</c:v>
                </c:pt>
                <c:pt idx="60">
                  <c:v>9.1062271062270994E-2</c:v>
                </c:pt>
                <c:pt idx="61">
                  <c:v>0.115238095238095</c:v>
                </c:pt>
                <c:pt idx="62">
                  <c:v>0.13538461538461499</c:v>
                </c:pt>
                <c:pt idx="63">
                  <c:v>0.17003663003663</c:v>
                </c:pt>
                <c:pt idx="64">
                  <c:v>0.199047619047619</c:v>
                </c:pt>
                <c:pt idx="65">
                  <c:v>0.23934065934065901</c:v>
                </c:pt>
                <c:pt idx="66">
                  <c:v>0.274798534798534</c:v>
                </c:pt>
                <c:pt idx="67">
                  <c:v>0.311868131868131</c:v>
                </c:pt>
                <c:pt idx="68">
                  <c:v>0.34732600732600699</c:v>
                </c:pt>
                <c:pt idx="69">
                  <c:v>0.38036630036629998</c:v>
                </c:pt>
                <c:pt idx="70">
                  <c:v>0.40695970695970601</c:v>
                </c:pt>
                <c:pt idx="71">
                  <c:v>0.43919413919413902</c:v>
                </c:pt>
                <c:pt idx="72">
                  <c:v>0.45531135531135503</c:v>
                </c:pt>
                <c:pt idx="73">
                  <c:v>0.48029304029303999</c:v>
                </c:pt>
                <c:pt idx="74">
                  <c:v>0.489157509157509</c:v>
                </c:pt>
                <c:pt idx="75">
                  <c:v>0.486739926739926</c:v>
                </c:pt>
                <c:pt idx="76">
                  <c:v>0.48754578754578698</c:v>
                </c:pt>
                <c:pt idx="77">
                  <c:v>0.47706959706959701</c:v>
                </c:pt>
                <c:pt idx="78">
                  <c:v>0.46417582417582398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9E-4653-ADBC-7F97A75FE85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sample_data!$F$2:$F$80</c:f>
              <c:numCache>
                <c:formatCode>General</c:formatCode>
                <c:ptCount val="79"/>
                <c:pt idx="0">
                  <c:v>0.46901098901098898</c:v>
                </c:pt>
                <c:pt idx="1">
                  <c:v>0.49238095238095198</c:v>
                </c:pt>
                <c:pt idx="2">
                  <c:v>0.50446886446886396</c:v>
                </c:pt>
                <c:pt idx="3">
                  <c:v>0.49641025641025599</c:v>
                </c:pt>
                <c:pt idx="4">
                  <c:v>0.49882783882783799</c:v>
                </c:pt>
                <c:pt idx="5">
                  <c:v>0.49157509157509099</c:v>
                </c:pt>
                <c:pt idx="6">
                  <c:v>0.46417582417582398</c:v>
                </c:pt>
                <c:pt idx="7">
                  <c:v>0.44564102564102498</c:v>
                </c:pt>
                <c:pt idx="8">
                  <c:v>0.419047619047619</c:v>
                </c:pt>
                <c:pt idx="9">
                  <c:v>0.384395604395604</c:v>
                </c:pt>
                <c:pt idx="10">
                  <c:v>0.35296703296703202</c:v>
                </c:pt>
                <c:pt idx="11">
                  <c:v>0.31347985347985302</c:v>
                </c:pt>
                <c:pt idx="12">
                  <c:v>0.28285714285714197</c:v>
                </c:pt>
                <c:pt idx="13">
                  <c:v>0.24175824175824101</c:v>
                </c:pt>
                <c:pt idx="14">
                  <c:v>0.20791208791208701</c:v>
                </c:pt>
                <c:pt idx="15">
                  <c:v>0.17728937728937699</c:v>
                </c:pt>
                <c:pt idx="16">
                  <c:v>0.14827838827838799</c:v>
                </c:pt>
                <c:pt idx="17">
                  <c:v>0.117655677655677</c:v>
                </c:pt>
                <c:pt idx="18">
                  <c:v>9.2673992673992595E-2</c:v>
                </c:pt>
                <c:pt idx="19">
                  <c:v>8.7838827838827793E-2</c:v>
                </c:pt>
                <c:pt idx="20">
                  <c:v>6.9304029304029305E-2</c:v>
                </c:pt>
                <c:pt idx="21">
                  <c:v>6.2051282051281999E-2</c:v>
                </c:pt>
                <c:pt idx="22">
                  <c:v>7.0109890109890105E-2</c:v>
                </c:pt>
                <c:pt idx="23">
                  <c:v>7.8168498168498093E-2</c:v>
                </c:pt>
                <c:pt idx="24">
                  <c:v>9.1868131868131794E-2</c:v>
                </c:pt>
                <c:pt idx="25">
                  <c:v>0.113626373626373</c:v>
                </c:pt>
                <c:pt idx="26">
                  <c:v>0.13941391941391901</c:v>
                </c:pt>
                <c:pt idx="27">
                  <c:v>0.17326007326007301</c:v>
                </c:pt>
                <c:pt idx="28">
                  <c:v>0.199047619047619</c:v>
                </c:pt>
                <c:pt idx="29">
                  <c:v>0.24014652014651999</c:v>
                </c:pt>
                <c:pt idx="30">
                  <c:v>0.28043956043955998</c:v>
                </c:pt>
                <c:pt idx="31">
                  <c:v>0.316703296703296</c:v>
                </c:pt>
                <c:pt idx="32">
                  <c:v>0.35216117216117199</c:v>
                </c:pt>
                <c:pt idx="33">
                  <c:v>0.38278388278388198</c:v>
                </c:pt>
                <c:pt idx="34">
                  <c:v>0.419047619047619</c:v>
                </c:pt>
                <c:pt idx="35">
                  <c:v>0.43677655677655602</c:v>
                </c:pt>
                <c:pt idx="36">
                  <c:v>0.46417582417582398</c:v>
                </c:pt>
                <c:pt idx="37">
                  <c:v>0.47787545787545699</c:v>
                </c:pt>
                <c:pt idx="38">
                  <c:v>0.49238095238095198</c:v>
                </c:pt>
                <c:pt idx="39">
                  <c:v>0.49238095238095198</c:v>
                </c:pt>
                <c:pt idx="40">
                  <c:v>0.484322344322344</c:v>
                </c:pt>
                <c:pt idx="41">
                  <c:v>0.47465201465201401</c:v>
                </c:pt>
                <c:pt idx="42">
                  <c:v>0.45611721611721601</c:v>
                </c:pt>
                <c:pt idx="43">
                  <c:v>0.43516483516483501</c:v>
                </c:pt>
                <c:pt idx="44">
                  <c:v>0.40857142857142797</c:v>
                </c:pt>
                <c:pt idx="45">
                  <c:v>0.37794871794871698</c:v>
                </c:pt>
                <c:pt idx="46">
                  <c:v>0.33684981684981602</c:v>
                </c:pt>
                <c:pt idx="47">
                  <c:v>0.30380952380952297</c:v>
                </c:pt>
                <c:pt idx="48">
                  <c:v>0.269963369963369</c:v>
                </c:pt>
                <c:pt idx="49">
                  <c:v>0.23047619047619</c:v>
                </c:pt>
                <c:pt idx="50">
                  <c:v>0.20065934065933999</c:v>
                </c:pt>
                <c:pt idx="51">
                  <c:v>0.16600732600732501</c:v>
                </c:pt>
                <c:pt idx="52">
                  <c:v>0.13780219780219699</c:v>
                </c:pt>
                <c:pt idx="53">
                  <c:v>0.113626373626373</c:v>
                </c:pt>
                <c:pt idx="54">
                  <c:v>9.4285714285714195E-2</c:v>
                </c:pt>
                <c:pt idx="55">
                  <c:v>7.9780219780219694E-2</c:v>
                </c:pt>
                <c:pt idx="56">
                  <c:v>6.7692307692307593E-2</c:v>
                </c:pt>
                <c:pt idx="57">
                  <c:v>6.5274725274725207E-2</c:v>
                </c:pt>
                <c:pt idx="58">
                  <c:v>6.6080586080586007E-2</c:v>
                </c:pt>
                <c:pt idx="59">
                  <c:v>7.6556776556776507E-2</c:v>
                </c:pt>
                <c:pt idx="60">
                  <c:v>9.0256410256410194E-2</c:v>
                </c:pt>
                <c:pt idx="61">
                  <c:v>0.116043956043956</c:v>
                </c:pt>
                <c:pt idx="62">
                  <c:v>0.141025641025641</c:v>
                </c:pt>
                <c:pt idx="63">
                  <c:v>0.17084249084249001</c:v>
                </c:pt>
                <c:pt idx="64">
                  <c:v>0.201465201465201</c:v>
                </c:pt>
                <c:pt idx="65">
                  <c:v>0.24014652014651999</c:v>
                </c:pt>
                <c:pt idx="66">
                  <c:v>0.27560439560439498</c:v>
                </c:pt>
                <c:pt idx="67">
                  <c:v>0.30945054945054901</c:v>
                </c:pt>
                <c:pt idx="68">
                  <c:v>0.35054945054945003</c:v>
                </c:pt>
                <c:pt idx="69">
                  <c:v>0.38117216117216102</c:v>
                </c:pt>
                <c:pt idx="70">
                  <c:v>0.41018315018314999</c:v>
                </c:pt>
                <c:pt idx="71">
                  <c:v>0.43355311355311299</c:v>
                </c:pt>
                <c:pt idx="72">
                  <c:v>0.46014652014652002</c:v>
                </c:pt>
                <c:pt idx="73">
                  <c:v>0.47304029304029299</c:v>
                </c:pt>
                <c:pt idx="74">
                  <c:v>0.48996336996336898</c:v>
                </c:pt>
                <c:pt idx="75">
                  <c:v>0.48593406593406502</c:v>
                </c:pt>
                <c:pt idx="76">
                  <c:v>0.49076923076923001</c:v>
                </c:pt>
                <c:pt idx="77">
                  <c:v>0.47384615384615297</c:v>
                </c:pt>
                <c:pt idx="78">
                  <c:v>0.46095238095238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9E-4653-ADBC-7F97A75FE85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sample_data!$G$2:$G$80</c:f>
              <c:numCache>
                <c:formatCode>General</c:formatCode>
                <c:ptCount val="79"/>
                <c:pt idx="0">
                  <c:v>0.29508378541289892</c:v>
                </c:pt>
                <c:pt idx="1">
                  <c:v>0.29508378541289892</c:v>
                </c:pt>
                <c:pt idx="2">
                  <c:v>0.29508378541289892</c:v>
                </c:pt>
                <c:pt idx="3">
                  <c:v>0.29508378541289892</c:v>
                </c:pt>
                <c:pt idx="4">
                  <c:v>0.29508378541289892</c:v>
                </c:pt>
                <c:pt idx="5">
                  <c:v>0.29508378541289892</c:v>
                </c:pt>
                <c:pt idx="6">
                  <c:v>0.29508378541289892</c:v>
                </c:pt>
                <c:pt idx="7">
                  <c:v>0.29508378541289892</c:v>
                </c:pt>
                <c:pt idx="8">
                  <c:v>0.29508378541289892</c:v>
                </c:pt>
                <c:pt idx="9">
                  <c:v>0.29508378541289892</c:v>
                </c:pt>
                <c:pt idx="10">
                  <c:v>0.29508378541289892</c:v>
                </c:pt>
                <c:pt idx="11">
                  <c:v>0.29508378541289892</c:v>
                </c:pt>
                <c:pt idx="12">
                  <c:v>0.29508378541289892</c:v>
                </c:pt>
                <c:pt idx="13">
                  <c:v>0.29508378541289892</c:v>
                </c:pt>
                <c:pt idx="14">
                  <c:v>0.29508378541289892</c:v>
                </c:pt>
                <c:pt idx="15">
                  <c:v>0.29508378541289892</c:v>
                </c:pt>
                <c:pt idx="16">
                  <c:v>0.29508378541289892</c:v>
                </c:pt>
                <c:pt idx="17">
                  <c:v>0.29508378541289892</c:v>
                </c:pt>
                <c:pt idx="18">
                  <c:v>0.29508378541289892</c:v>
                </c:pt>
                <c:pt idx="19">
                  <c:v>0.29508378541289892</c:v>
                </c:pt>
                <c:pt idx="20">
                  <c:v>0.29508378541289892</c:v>
                </c:pt>
                <c:pt idx="21">
                  <c:v>0.29508378541289892</c:v>
                </c:pt>
                <c:pt idx="22">
                  <c:v>0.29508378541289892</c:v>
                </c:pt>
                <c:pt idx="23">
                  <c:v>0.29508378541289892</c:v>
                </c:pt>
                <c:pt idx="24">
                  <c:v>0.29508378541289892</c:v>
                </c:pt>
                <c:pt idx="25">
                  <c:v>0.29508378541289892</c:v>
                </c:pt>
                <c:pt idx="26">
                  <c:v>0.29508378541289892</c:v>
                </c:pt>
                <c:pt idx="27">
                  <c:v>0.29508378541289892</c:v>
                </c:pt>
                <c:pt idx="28">
                  <c:v>0.29508378541289892</c:v>
                </c:pt>
                <c:pt idx="29">
                  <c:v>0.29508378541289892</c:v>
                </c:pt>
                <c:pt idx="30">
                  <c:v>0.29508378541289892</c:v>
                </c:pt>
                <c:pt idx="31">
                  <c:v>0.29508378541289892</c:v>
                </c:pt>
                <c:pt idx="32">
                  <c:v>0.29508378541289892</c:v>
                </c:pt>
                <c:pt idx="33">
                  <c:v>0.29508378541289892</c:v>
                </c:pt>
                <c:pt idx="34">
                  <c:v>0.29508378541289892</c:v>
                </c:pt>
                <c:pt idx="35">
                  <c:v>0.29508378541289892</c:v>
                </c:pt>
                <c:pt idx="36">
                  <c:v>0.29508378541289892</c:v>
                </c:pt>
                <c:pt idx="37">
                  <c:v>0.29508378541289892</c:v>
                </c:pt>
                <c:pt idx="38">
                  <c:v>0.29508378541289892</c:v>
                </c:pt>
                <c:pt idx="39">
                  <c:v>0.29508378541289892</c:v>
                </c:pt>
                <c:pt idx="40">
                  <c:v>0.29508378541289892</c:v>
                </c:pt>
                <c:pt idx="41">
                  <c:v>0.29508378541289892</c:v>
                </c:pt>
                <c:pt idx="42">
                  <c:v>0.29508378541289892</c:v>
                </c:pt>
                <c:pt idx="43">
                  <c:v>0.29508378541289892</c:v>
                </c:pt>
                <c:pt idx="44">
                  <c:v>0.29508378541289892</c:v>
                </c:pt>
                <c:pt idx="45">
                  <c:v>0.29508378541289892</c:v>
                </c:pt>
                <c:pt idx="46">
                  <c:v>0.29508378541289892</c:v>
                </c:pt>
                <c:pt idx="47">
                  <c:v>0.29508378541289892</c:v>
                </c:pt>
                <c:pt idx="48">
                  <c:v>0.29508378541289892</c:v>
                </c:pt>
                <c:pt idx="49">
                  <c:v>0.29508378541289892</c:v>
                </c:pt>
                <c:pt idx="50">
                  <c:v>0.29508378541289892</c:v>
                </c:pt>
                <c:pt idx="51">
                  <c:v>0.29508378541289892</c:v>
                </c:pt>
                <c:pt idx="52">
                  <c:v>0.29508378541289892</c:v>
                </c:pt>
                <c:pt idx="53">
                  <c:v>0.29508378541289892</c:v>
                </c:pt>
                <c:pt idx="54">
                  <c:v>0.29508378541289892</c:v>
                </c:pt>
                <c:pt idx="55">
                  <c:v>0.29508378541289892</c:v>
                </c:pt>
                <c:pt idx="56">
                  <c:v>0.29508378541289892</c:v>
                </c:pt>
                <c:pt idx="57">
                  <c:v>0.29508378541289892</c:v>
                </c:pt>
                <c:pt idx="58">
                  <c:v>0.29508378541289892</c:v>
                </c:pt>
                <c:pt idx="59">
                  <c:v>0.29508378541289892</c:v>
                </c:pt>
                <c:pt idx="60">
                  <c:v>0.29508378541289892</c:v>
                </c:pt>
                <c:pt idx="61">
                  <c:v>0.29508378541289892</c:v>
                </c:pt>
                <c:pt idx="62">
                  <c:v>0.29508378541289892</c:v>
                </c:pt>
                <c:pt idx="63">
                  <c:v>0.29508378541289892</c:v>
                </c:pt>
                <c:pt idx="64">
                  <c:v>0.29508378541289892</c:v>
                </c:pt>
                <c:pt idx="65">
                  <c:v>0.29508378541289892</c:v>
                </c:pt>
                <c:pt idx="66">
                  <c:v>0.29508378541289892</c:v>
                </c:pt>
                <c:pt idx="67">
                  <c:v>0.29508378541289892</c:v>
                </c:pt>
                <c:pt idx="68">
                  <c:v>0.29508378541289892</c:v>
                </c:pt>
                <c:pt idx="69">
                  <c:v>0.29508378541289892</c:v>
                </c:pt>
                <c:pt idx="70">
                  <c:v>0.29508378541289892</c:v>
                </c:pt>
                <c:pt idx="71">
                  <c:v>0.29508378541289892</c:v>
                </c:pt>
                <c:pt idx="72">
                  <c:v>0.29508378541289892</c:v>
                </c:pt>
                <c:pt idx="73">
                  <c:v>0.29508378541289892</c:v>
                </c:pt>
                <c:pt idx="74">
                  <c:v>0.29508378541289892</c:v>
                </c:pt>
                <c:pt idx="75">
                  <c:v>0.29508378541289892</c:v>
                </c:pt>
                <c:pt idx="76">
                  <c:v>0.29508378541289892</c:v>
                </c:pt>
                <c:pt idx="77">
                  <c:v>0.29508378541289892</c:v>
                </c:pt>
                <c:pt idx="78">
                  <c:v>0.29508378541289892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9E-4653-ADBC-7F97A75F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27727"/>
        <c:axId val="144854767"/>
      </c:scatterChart>
      <c:valAx>
        <c:axId val="14482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767"/>
        <c:crosses val="autoZero"/>
        <c:crossBetween val="midCat"/>
      </c:valAx>
      <c:valAx>
        <c:axId val="1448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sample_data!$A$2:$A$80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sample_data!$H$2:$H$80</c:f>
              <c:numCache>
                <c:formatCode>General</c:formatCode>
                <c:ptCount val="79"/>
                <c:pt idx="0">
                  <c:v>0.1106089859507582</c:v>
                </c:pt>
                <c:pt idx="1">
                  <c:v>0.12753206287383495</c:v>
                </c:pt>
                <c:pt idx="2">
                  <c:v>0.14268224602401791</c:v>
                </c:pt>
                <c:pt idx="3">
                  <c:v>0.14010349144526357</c:v>
                </c:pt>
                <c:pt idx="4">
                  <c:v>0.1354294987712707</c:v>
                </c:pt>
                <c:pt idx="5">
                  <c:v>0.12833792367969576</c:v>
                </c:pt>
                <c:pt idx="6">
                  <c:v>0.11302656836834081</c:v>
                </c:pt>
                <c:pt idx="7">
                  <c:v>7.9986275328047432E-2</c:v>
                </c:pt>
                <c:pt idx="8">
                  <c:v>5.9839755181527635E-2</c:v>
                </c:pt>
                <c:pt idx="9">
                  <c:v>2.5187740529512795E-2</c:v>
                </c:pt>
                <c:pt idx="10">
                  <c:v>7.6913803496084093E-3</c:v>
                </c:pt>
                <c:pt idx="11">
                  <c:v>4.7984420642648615E-2</c:v>
                </c:pt>
                <c:pt idx="12">
                  <c:v>8.0380025038252798E-2</c:v>
                </c:pt>
                <c:pt idx="13">
                  <c:v>0.11712727778550554</c:v>
                </c:pt>
                <c:pt idx="14">
                  <c:v>0.15355218621041417</c:v>
                </c:pt>
                <c:pt idx="15">
                  <c:v>0.18304669170491938</c:v>
                </c:pt>
                <c:pt idx="16">
                  <c:v>0.21544229610052379</c:v>
                </c:pt>
                <c:pt idx="17">
                  <c:v>0.24268039133861918</c:v>
                </c:pt>
                <c:pt idx="18">
                  <c:v>0.26427746093568838</c:v>
                </c:pt>
                <c:pt idx="19">
                  <c:v>0.27926647192469939</c:v>
                </c:pt>
                <c:pt idx="20">
                  <c:v>0.29087086752909491</c:v>
                </c:pt>
                <c:pt idx="21">
                  <c:v>0.29618954884777626</c:v>
                </c:pt>
                <c:pt idx="22">
                  <c:v>0.29167672833495573</c:v>
                </c:pt>
                <c:pt idx="23">
                  <c:v>0.28184522650345395</c:v>
                </c:pt>
                <c:pt idx="24">
                  <c:v>0.26879028144850886</c:v>
                </c:pt>
                <c:pt idx="25">
                  <c:v>0.24477562943385717</c:v>
                </c:pt>
                <c:pt idx="26">
                  <c:v>0.218826911485139</c:v>
                </c:pt>
                <c:pt idx="27">
                  <c:v>0.18868771734594519</c:v>
                </c:pt>
                <c:pt idx="28">
                  <c:v>0.15468039133861922</c:v>
                </c:pt>
                <c:pt idx="29">
                  <c:v>0.12018954884777679</c:v>
                </c:pt>
                <c:pt idx="30">
                  <c:v>8.1508230166458015E-2</c:v>
                </c:pt>
                <c:pt idx="31">
                  <c:v>4.0731673389901343E-2</c:v>
                </c:pt>
                <c:pt idx="32">
                  <c:v>4.7902814485092232E-3</c:v>
                </c:pt>
                <c:pt idx="33">
                  <c:v>2.6638289980062027E-2</c:v>
                </c:pt>
                <c:pt idx="34">
                  <c:v>5.7744517086289263E-2</c:v>
                </c:pt>
                <c:pt idx="35">
                  <c:v>8.1436824778596831E-2</c:v>
                </c:pt>
                <c:pt idx="36">
                  <c:v>0.10287272221449441</c:v>
                </c:pt>
                <c:pt idx="37">
                  <c:v>0.11689470023647226</c:v>
                </c:pt>
                <c:pt idx="38">
                  <c:v>0.12801557935735136</c:v>
                </c:pt>
                <c:pt idx="39">
                  <c:v>0.13027198961376185</c:v>
                </c:pt>
                <c:pt idx="40">
                  <c:v>0.12495330829508035</c:v>
                </c:pt>
                <c:pt idx="41">
                  <c:v>0.11560532294709493</c:v>
                </c:pt>
                <c:pt idx="42">
                  <c:v>9.6103491445263825E-2</c:v>
                </c:pt>
                <c:pt idx="43">
                  <c:v>7.4184077525849781E-2</c:v>
                </c:pt>
                <c:pt idx="44">
                  <c:v>4.5817777159549225E-2</c:v>
                </c:pt>
                <c:pt idx="45">
                  <c:v>1.5678583020354867E-2</c:v>
                </c:pt>
                <c:pt idx="46">
                  <c:v>2.1391014049241805E-2</c:v>
                </c:pt>
                <c:pt idx="47">
                  <c:v>5.8138266796494351E-2</c:v>
                </c:pt>
                <c:pt idx="48">
                  <c:v>9.5046691704919792E-2</c:v>
                </c:pt>
                <c:pt idx="49">
                  <c:v>0.13018222284045078</c:v>
                </c:pt>
                <c:pt idx="50">
                  <c:v>0.16306134371957182</c:v>
                </c:pt>
                <c:pt idx="51">
                  <c:v>0.19384522650345437</c:v>
                </c:pt>
                <c:pt idx="52">
                  <c:v>0.22350090415913221</c:v>
                </c:pt>
                <c:pt idx="53">
                  <c:v>0.2488049334631614</c:v>
                </c:pt>
                <c:pt idx="54">
                  <c:v>0.26637269903092647</c:v>
                </c:pt>
                <c:pt idx="55">
                  <c:v>0.28007233273056015</c:v>
                </c:pt>
                <c:pt idx="56">
                  <c:v>0.29248258914081654</c:v>
                </c:pt>
                <c:pt idx="57">
                  <c:v>0.2968342374924649</c:v>
                </c:pt>
                <c:pt idx="58">
                  <c:v>0.29296610562433306</c:v>
                </c:pt>
                <c:pt idx="59">
                  <c:v>0.28168405434228178</c:v>
                </c:pt>
                <c:pt idx="60">
                  <c:v>0.26991848657671402</c:v>
                </c:pt>
                <c:pt idx="61">
                  <c:v>0.24590383456206216</c:v>
                </c:pt>
                <c:pt idx="62">
                  <c:v>0.22382324848147622</c:v>
                </c:pt>
                <c:pt idx="63">
                  <c:v>0.1922335048917328</c:v>
                </c:pt>
                <c:pt idx="64">
                  <c:v>0.15806500672323437</c:v>
                </c:pt>
                <c:pt idx="65">
                  <c:v>0.12276830342653115</c:v>
                </c:pt>
                <c:pt idx="66">
                  <c:v>8.5215189873417793E-2</c:v>
                </c:pt>
                <c:pt idx="67">
                  <c:v>4.7662076320304211E-2</c:v>
                </c:pt>
                <c:pt idx="68">
                  <c:v>1.3977094635322415E-2</c:v>
                </c:pt>
                <c:pt idx="69">
                  <c:v>2.0352575694347799E-2</c:v>
                </c:pt>
                <c:pt idx="70">
                  <c:v>4.7751843093615201E-2</c:v>
                </c:pt>
                <c:pt idx="71">
                  <c:v>7.627931562108782E-2</c:v>
                </c:pt>
                <c:pt idx="72">
                  <c:v>9.8682246024018164E-2</c:v>
                </c:pt>
                <c:pt idx="73">
                  <c:v>0.11625001159178384</c:v>
                </c:pt>
                <c:pt idx="74">
                  <c:v>0.12608151342328544</c:v>
                </c:pt>
                <c:pt idx="75">
                  <c:v>0.12672620206797397</c:v>
                </c:pt>
                <c:pt idx="76">
                  <c:v>0.1283379236796956</c:v>
                </c:pt>
                <c:pt idx="77">
                  <c:v>0.11496063430240645</c:v>
                </c:pt>
                <c:pt idx="78">
                  <c:v>0.10238920573097778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BD-464F-A323-9F6CF8213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28063"/>
        <c:axId val="212735967"/>
      </c:scatterChart>
      <c:valAx>
        <c:axId val="21272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5967"/>
        <c:crosses val="autoZero"/>
        <c:crossBetween val="midCat"/>
      </c:valAx>
      <c:valAx>
        <c:axId val="2127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Sheet1!$M$2:$M$80</c:f>
              <c:numCache>
                <c:formatCode>General</c:formatCode>
                <c:ptCount val="79"/>
                <c:pt idx="0">
                  <c:v>0.40569277136365711</c:v>
                </c:pt>
                <c:pt idx="1">
                  <c:v>0.42261584828673388</c:v>
                </c:pt>
                <c:pt idx="2">
                  <c:v>0.43776603143691695</c:v>
                </c:pt>
                <c:pt idx="3">
                  <c:v>0.4351872768581625</c:v>
                </c:pt>
                <c:pt idx="4">
                  <c:v>0.43051328418416973</c:v>
                </c:pt>
                <c:pt idx="5">
                  <c:v>0.42342170909259469</c:v>
                </c:pt>
                <c:pt idx="6">
                  <c:v>0.40811035378123972</c:v>
                </c:pt>
                <c:pt idx="7">
                  <c:v>0.37507006074094634</c:v>
                </c:pt>
                <c:pt idx="8">
                  <c:v>0.35492354059442655</c:v>
                </c:pt>
                <c:pt idx="9">
                  <c:v>0.32027152594241171</c:v>
                </c:pt>
                <c:pt idx="10">
                  <c:v>0.2873924050632905</c:v>
                </c:pt>
                <c:pt idx="11">
                  <c:v>0.24709936477025032</c:v>
                </c:pt>
                <c:pt idx="12">
                  <c:v>0.21470376037464609</c:v>
                </c:pt>
                <c:pt idx="13">
                  <c:v>0.17795650762739335</c:v>
                </c:pt>
                <c:pt idx="14">
                  <c:v>0.14153159920248476</c:v>
                </c:pt>
                <c:pt idx="15">
                  <c:v>0.11203709370797954</c:v>
                </c:pt>
                <c:pt idx="16">
                  <c:v>7.9641489312375136E-2</c:v>
                </c:pt>
                <c:pt idx="17">
                  <c:v>5.2403394074279727E-2</c:v>
                </c:pt>
                <c:pt idx="18">
                  <c:v>3.0806324477210566E-2</c:v>
                </c:pt>
                <c:pt idx="19">
                  <c:v>1.5817313488199571E-2</c:v>
                </c:pt>
                <c:pt idx="20">
                  <c:v>4.2129178838040179E-3</c:v>
                </c:pt>
                <c:pt idx="21">
                  <c:v>-1.1057634348773438E-3</c:v>
                </c:pt>
                <c:pt idx="22">
                  <c:v>3.4070570779431986E-3</c:v>
                </c:pt>
                <c:pt idx="23">
                  <c:v>1.3238558909444993E-2</c:v>
                </c:pt>
                <c:pt idx="24">
                  <c:v>2.6293503964390053E-2</c:v>
                </c:pt>
                <c:pt idx="25">
                  <c:v>5.0308155979041737E-2</c:v>
                </c:pt>
                <c:pt idx="26">
                  <c:v>7.6256873927759941E-2</c:v>
                </c:pt>
                <c:pt idx="27">
                  <c:v>0.10639606806695374</c:v>
                </c:pt>
                <c:pt idx="28">
                  <c:v>0.14040339407427974</c:v>
                </c:pt>
                <c:pt idx="29">
                  <c:v>0.17489423656512218</c:v>
                </c:pt>
                <c:pt idx="30">
                  <c:v>0.2135755552464409</c:v>
                </c:pt>
                <c:pt idx="31">
                  <c:v>0.25435211202299757</c:v>
                </c:pt>
                <c:pt idx="32">
                  <c:v>0.29029350396438969</c:v>
                </c:pt>
                <c:pt idx="33">
                  <c:v>0.32172207539296088</c:v>
                </c:pt>
                <c:pt idx="34">
                  <c:v>0.35282830249918817</c:v>
                </c:pt>
                <c:pt idx="35">
                  <c:v>0.37652061019149574</c:v>
                </c:pt>
                <c:pt idx="36">
                  <c:v>0.39795650762739332</c:v>
                </c:pt>
                <c:pt idx="37">
                  <c:v>0.41197848564937117</c:v>
                </c:pt>
                <c:pt idx="38">
                  <c:v>0.42309936477025029</c:v>
                </c:pt>
                <c:pt idx="39">
                  <c:v>0.42535577502666078</c:v>
                </c:pt>
                <c:pt idx="40">
                  <c:v>0.42003709370797926</c:v>
                </c:pt>
                <c:pt idx="41">
                  <c:v>0.41068910835999384</c:v>
                </c:pt>
                <c:pt idx="42">
                  <c:v>0.39118727685816274</c:v>
                </c:pt>
                <c:pt idx="43">
                  <c:v>0.36926786293874869</c:v>
                </c:pt>
                <c:pt idx="44">
                  <c:v>0.34090156257244814</c:v>
                </c:pt>
                <c:pt idx="45">
                  <c:v>0.31076236843325378</c:v>
                </c:pt>
                <c:pt idx="46">
                  <c:v>0.27369277136365711</c:v>
                </c:pt>
                <c:pt idx="47">
                  <c:v>0.23694551861640453</c:v>
                </c:pt>
                <c:pt idx="48">
                  <c:v>0.20003709370797912</c:v>
                </c:pt>
                <c:pt idx="49">
                  <c:v>0.16490156257244815</c:v>
                </c:pt>
                <c:pt idx="50">
                  <c:v>0.13202244169332714</c:v>
                </c:pt>
                <c:pt idx="51">
                  <c:v>0.10123855890944453</c:v>
                </c:pt>
                <c:pt idx="52">
                  <c:v>7.1582881253766731E-2</c:v>
                </c:pt>
                <c:pt idx="53">
                  <c:v>4.6278851949737534E-2</c:v>
                </c:pt>
                <c:pt idx="54">
                  <c:v>2.8711086381972471E-2</c:v>
                </c:pt>
                <c:pt idx="55">
                  <c:v>1.5011452682338774E-2</c:v>
                </c:pt>
                <c:pt idx="56">
                  <c:v>2.6011962720823762E-3</c:v>
                </c:pt>
                <c:pt idx="57">
                  <c:v>-1.7504520795659797E-3</c:v>
                </c:pt>
                <c:pt idx="58">
                  <c:v>2.1176797885658987E-3</c:v>
                </c:pt>
                <c:pt idx="59">
                  <c:v>1.3399731070617154E-2</c:v>
                </c:pt>
                <c:pt idx="60">
                  <c:v>2.5165298836184936E-2</c:v>
                </c:pt>
                <c:pt idx="61">
                  <c:v>4.9179950850836741E-2</c:v>
                </c:pt>
                <c:pt idx="62">
                  <c:v>7.126053693142273E-2</c:v>
                </c:pt>
                <c:pt idx="63">
                  <c:v>0.10285028052116614</c:v>
                </c:pt>
                <c:pt idx="64">
                  <c:v>0.13701877868966453</c:v>
                </c:pt>
                <c:pt idx="65">
                  <c:v>0.17231548198636776</c:v>
                </c:pt>
                <c:pt idx="66">
                  <c:v>0.20986859553948109</c:v>
                </c:pt>
                <c:pt idx="67">
                  <c:v>0.2474217090925947</c:v>
                </c:pt>
                <c:pt idx="68">
                  <c:v>0.2811066907775765</c:v>
                </c:pt>
                <c:pt idx="69">
                  <c:v>0.31543636110724671</c:v>
                </c:pt>
                <c:pt idx="70">
                  <c:v>0.34283562850651411</c:v>
                </c:pt>
                <c:pt idx="71">
                  <c:v>0.37136310103398673</c:v>
                </c:pt>
                <c:pt idx="72">
                  <c:v>0.39376603143691713</c:v>
                </c:pt>
                <c:pt idx="73">
                  <c:v>0.41133379700468276</c:v>
                </c:pt>
                <c:pt idx="74">
                  <c:v>0.42116529883618431</c:v>
                </c:pt>
                <c:pt idx="75">
                  <c:v>0.42180998748087289</c:v>
                </c:pt>
                <c:pt idx="76">
                  <c:v>0.42342170909259452</c:v>
                </c:pt>
                <c:pt idx="77">
                  <c:v>0.41004441971530536</c:v>
                </c:pt>
                <c:pt idx="78">
                  <c:v>0.39747299114387669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21-49DA-AAA3-36597E2DFF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Sheet1!$N$2:$N$80</c:f>
              <c:numCache>
                <c:formatCode>General</c:formatCode>
                <c:ptCount val="79"/>
                <c:pt idx="0">
                  <c:v>0.21800778967867548</c:v>
                </c:pt>
                <c:pt idx="1">
                  <c:v>0.21800778967867548</c:v>
                </c:pt>
                <c:pt idx="2">
                  <c:v>0.21800778967867548</c:v>
                </c:pt>
                <c:pt idx="3">
                  <c:v>0.21800778967867548</c:v>
                </c:pt>
                <c:pt idx="4">
                  <c:v>0.21800778967867548</c:v>
                </c:pt>
                <c:pt idx="5">
                  <c:v>0.21800778967867548</c:v>
                </c:pt>
                <c:pt idx="6">
                  <c:v>0.21800778967867548</c:v>
                </c:pt>
                <c:pt idx="7">
                  <c:v>0.21800778967867548</c:v>
                </c:pt>
                <c:pt idx="8">
                  <c:v>0.21800778967867548</c:v>
                </c:pt>
                <c:pt idx="9">
                  <c:v>0.21800778967867548</c:v>
                </c:pt>
                <c:pt idx="10">
                  <c:v>0.21800778967867548</c:v>
                </c:pt>
                <c:pt idx="11">
                  <c:v>0.21800778967867548</c:v>
                </c:pt>
                <c:pt idx="12">
                  <c:v>0.21800778967867548</c:v>
                </c:pt>
                <c:pt idx="13">
                  <c:v>0.21800778967867548</c:v>
                </c:pt>
                <c:pt idx="14">
                  <c:v>0.21800778967867548</c:v>
                </c:pt>
                <c:pt idx="15">
                  <c:v>0.21800778967867548</c:v>
                </c:pt>
                <c:pt idx="16">
                  <c:v>0.21800778967867548</c:v>
                </c:pt>
                <c:pt idx="17">
                  <c:v>0.21800778967867548</c:v>
                </c:pt>
                <c:pt idx="18">
                  <c:v>0.21800778967867548</c:v>
                </c:pt>
                <c:pt idx="19">
                  <c:v>0.21800778967867548</c:v>
                </c:pt>
                <c:pt idx="20">
                  <c:v>0.21800778967867548</c:v>
                </c:pt>
                <c:pt idx="21">
                  <c:v>0.21800778967867548</c:v>
                </c:pt>
                <c:pt idx="22">
                  <c:v>0.21800778967867548</c:v>
                </c:pt>
                <c:pt idx="23">
                  <c:v>0.21800778967867548</c:v>
                </c:pt>
                <c:pt idx="24">
                  <c:v>0.21800778967867548</c:v>
                </c:pt>
                <c:pt idx="25">
                  <c:v>0.21800778967867548</c:v>
                </c:pt>
                <c:pt idx="26">
                  <c:v>0.21800778967867548</c:v>
                </c:pt>
                <c:pt idx="27">
                  <c:v>0.21800778967867548</c:v>
                </c:pt>
                <c:pt idx="28">
                  <c:v>0.21800778967867548</c:v>
                </c:pt>
                <c:pt idx="29">
                  <c:v>0.21800778967867548</c:v>
                </c:pt>
                <c:pt idx="30">
                  <c:v>0.21800778967867548</c:v>
                </c:pt>
                <c:pt idx="31">
                  <c:v>0.21800778967867548</c:v>
                </c:pt>
                <c:pt idx="32">
                  <c:v>0.21800778967867548</c:v>
                </c:pt>
                <c:pt idx="33">
                  <c:v>0.21800778967867548</c:v>
                </c:pt>
                <c:pt idx="34">
                  <c:v>0.21800778967867548</c:v>
                </c:pt>
                <c:pt idx="35">
                  <c:v>0.21800778967867548</c:v>
                </c:pt>
                <c:pt idx="36">
                  <c:v>0.21800778967867548</c:v>
                </c:pt>
                <c:pt idx="37">
                  <c:v>0.21800778967867548</c:v>
                </c:pt>
                <c:pt idx="38">
                  <c:v>0.21800778967867548</c:v>
                </c:pt>
                <c:pt idx="39">
                  <c:v>0.21800778967867548</c:v>
                </c:pt>
                <c:pt idx="40">
                  <c:v>0.21800778967867548</c:v>
                </c:pt>
                <c:pt idx="41">
                  <c:v>0.21800778967867548</c:v>
                </c:pt>
                <c:pt idx="42">
                  <c:v>0.21800778967867548</c:v>
                </c:pt>
                <c:pt idx="43">
                  <c:v>0.21800778967867548</c:v>
                </c:pt>
                <c:pt idx="44">
                  <c:v>0.21800778967867548</c:v>
                </c:pt>
                <c:pt idx="45">
                  <c:v>0.21800778967867548</c:v>
                </c:pt>
                <c:pt idx="46">
                  <c:v>0.21800778967867548</c:v>
                </c:pt>
                <c:pt idx="47">
                  <c:v>0.21800778967867548</c:v>
                </c:pt>
                <c:pt idx="48">
                  <c:v>0.21800778967867548</c:v>
                </c:pt>
                <c:pt idx="49">
                  <c:v>0.21800778967867548</c:v>
                </c:pt>
                <c:pt idx="50">
                  <c:v>0.21800778967867548</c:v>
                </c:pt>
                <c:pt idx="51">
                  <c:v>0.21800778967867548</c:v>
                </c:pt>
                <c:pt idx="52">
                  <c:v>0.21800778967867548</c:v>
                </c:pt>
                <c:pt idx="53">
                  <c:v>0.21800778967867548</c:v>
                </c:pt>
                <c:pt idx="54">
                  <c:v>0.21800778967867548</c:v>
                </c:pt>
                <c:pt idx="55">
                  <c:v>0.21800778967867548</c:v>
                </c:pt>
                <c:pt idx="56">
                  <c:v>0.21800778967867548</c:v>
                </c:pt>
                <c:pt idx="57">
                  <c:v>0.21800778967867548</c:v>
                </c:pt>
                <c:pt idx="58">
                  <c:v>0.21800778967867548</c:v>
                </c:pt>
                <c:pt idx="59">
                  <c:v>0.21800778967867548</c:v>
                </c:pt>
                <c:pt idx="60">
                  <c:v>0.21800778967867548</c:v>
                </c:pt>
                <c:pt idx="61">
                  <c:v>0.21800778967867548</c:v>
                </c:pt>
                <c:pt idx="62">
                  <c:v>0.21800778967867548</c:v>
                </c:pt>
                <c:pt idx="63">
                  <c:v>0.21800778967867548</c:v>
                </c:pt>
                <c:pt idx="64">
                  <c:v>0.21800778967867548</c:v>
                </c:pt>
                <c:pt idx="65">
                  <c:v>0.21800778967867548</c:v>
                </c:pt>
                <c:pt idx="66">
                  <c:v>0.21800778967867548</c:v>
                </c:pt>
                <c:pt idx="67">
                  <c:v>0.21800778967867548</c:v>
                </c:pt>
                <c:pt idx="68">
                  <c:v>0.21800778967867548</c:v>
                </c:pt>
                <c:pt idx="69">
                  <c:v>0.21800778967867548</c:v>
                </c:pt>
                <c:pt idx="70">
                  <c:v>0.21800778967867548</c:v>
                </c:pt>
                <c:pt idx="71">
                  <c:v>0.21800778967867548</c:v>
                </c:pt>
                <c:pt idx="72">
                  <c:v>0.21800778967867548</c:v>
                </c:pt>
                <c:pt idx="73">
                  <c:v>0.21800778967867548</c:v>
                </c:pt>
                <c:pt idx="74">
                  <c:v>0.21800778967867548</c:v>
                </c:pt>
                <c:pt idx="75">
                  <c:v>0.21800778967867548</c:v>
                </c:pt>
                <c:pt idx="76">
                  <c:v>0.21800778967867548</c:v>
                </c:pt>
                <c:pt idx="77">
                  <c:v>0.21800778967867548</c:v>
                </c:pt>
                <c:pt idx="78">
                  <c:v>0.21800778967867548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21-49DA-AAA3-36597E2DFF4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Sheet1!$O$2:$O$80</c:f>
              <c:numCache>
                <c:formatCode>General</c:formatCode>
                <c:ptCount val="79"/>
                <c:pt idx="0">
                  <c:v>0.18768498168498163</c:v>
                </c:pt>
                <c:pt idx="1">
                  <c:v>0.20460805860805839</c:v>
                </c:pt>
                <c:pt idx="2">
                  <c:v>0.21975824175824146</c:v>
                </c:pt>
                <c:pt idx="3">
                  <c:v>0.21717948717948701</c:v>
                </c:pt>
                <c:pt idx="4">
                  <c:v>0.21250549450549425</c:v>
                </c:pt>
                <c:pt idx="5">
                  <c:v>0.2054139194139192</c:v>
                </c:pt>
                <c:pt idx="6">
                  <c:v>0.19010256410256424</c:v>
                </c:pt>
                <c:pt idx="7">
                  <c:v>0.15706227106227086</c:v>
                </c:pt>
                <c:pt idx="8">
                  <c:v>0.13691575091575106</c:v>
                </c:pt>
                <c:pt idx="9">
                  <c:v>0.10226373626373622</c:v>
                </c:pt>
                <c:pt idx="10">
                  <c:v>6.9384615384615017E-2</c:v>
                </c:pt>
                <c:pt idx="11">
                  <c:v>2.9091575091574839E-2</c:v>
                </c:pt>
                <c:pt idx="12">
                  <c:v>3.3040293040293989E-3</c:v>
                </c:pt>
                <c:pt idx="13">
                  <c:v>4.0051282051282139E-2</c:v>
                </c:pt>
                <c:pt idx="14">
                  <c:v>7.6476190476190725E-2</c:v>
                </c:pt>
                <c:pt idx="15">
                  <c:v>0.10597069597069594</c:v>
                </c:pt>
                <c:pt idx="16">
                  <c:v>0.13836630036630035</c:v>
                </c:pt>
                <c:pt idx="17">
                  <c:v>0.16560439560439577</c:v>
                </c:pt>
                <c:pt idx="18">
                  <c:v>0.18720146520146491</c:v>
                </c:pt>
                <c:pt idx="19">
                  <c:v>0.20219047619047592</c:v>
                </c:pt>
                <c:pt idx="20">
                  <c:v>0.21379487179487147</c:v>
                </c:pt>
                <c:pt idx="21">
                  <c:v>0.21911355311355282</c:v>
                </c:pt>
                <c:pt idx="22">
                  <c:v>0.21460073260073229</c:v>
                </c:pt>
                <c:pt idx="23">
                  <c:v>0.20476923076923048</c:v>
                </c:pt>
                <c:pt idx="24">
                  <c:v>0.19171428571428542</c:v>
                </c:pt>
                <c:pt idx="25">
                  <c:v>0.16769963369963375</c:v>
                </c:pt>
                <c:pt idx="26">
                  <c:v>0.14175091575091553</c:v>
                </c:pt>
                <c:pt idx="27">
                  <c:v>0.11161172161172174</c:v>
                </c:pt>
                <c:pt idx="28">
                  <c:v>7.7604395604395748E-2</c:v>
                </c:pt>
                <c:pt idx="29">
                  <c:v>4.3113553113553305E-2</c:v>
                </c:pt>
                <c:pt idx="30">
                  <c:v>4.4322344322345886E-3</c:v>
                </c:pt>
                <c:pt idx="31">
                  <c:v>3.6344322344322083E-2</c:v>
                </c:pt>
                <c:pt idx="32">
                  <c:v>7.2285714285714203E-2</c:v>
                </c:pt>
                <c:pt idx="33">
                  <c:v>0.1037142857142854</c:v>
                </c:pt>
                <c:pt idx="34">
                  <c:v>0.13482051282051269</c:v>
                </c:pt>
                <c:pt idx="35">
                  <c:v>0.15851282051282026</c:v>
                </c:pt>
                <c:pt idx="36">
                  <c:v>0.17994871794871783</c:v>
                </c:pt>
                <c:pt idx="37">
                  <c:v>0.19397069597069569</c:v>
                </c:pt>
                <c:pt idx="38">
                  <c:v>0.2050915750915748</c:v>
                </c:pt>
                <c:pt idx="39">
                  <c:v>0.20734798534798529</c:v>
                </c:pt>
                <c:pt idx="40">
                  <c:v>0.20202930402930377</c:v>
                </c:pt>
                <c:pt idx="41">
                  <c:v>0.19268131868131835</c:v>
                </c:pt>
                <c:pt idx="42">
                  <c:v>0.17317948717948725</c:v>
                </c:pt>
                <c:pt idx="43">
                  <c:v>0.15126007326007321</c:v>
                </c:pt>
                <c:pt idx="44">
                  <c:v>0.12289377289377265</c:v>
                </c:pt>
                <c:pt idx="45">
                  <c:v>9.2754578754578293E-2</c:v>
                </c:pt>
                <c:pt idx="46">
                  <c:v>5.5684981684981621E-2</c:v>
                </c:pt>
                <c:pt idx="47">
                  <c:v>1.8937728937729048E-2</c:v>
                </c:pt>
                <c:pt idx="48">
                  <c:v>1.7970695970696365E-2</c:v>
                </c:pt>
                <c:pt idx="49">
                  <c:v>5.3106227106227338E-2</c:v>
                </c:pt>
                <c:pt idx="50">
                  <c:v>8.5985347985348348E-2</c:v>
                </c:pt>
                <c:pt idx="51">
                  <c:v>0.11676923076923096</c:v>
                </c:pt>
                <c:pt idx="52">
                  <c:v>0.14642490842490874</c:v>
                </c:pt>
                <c:pt idx="53">
                  <c:v>0.17172893772893794</c:v>
                </c:pt>
                <c:pt idx="54">
                  <c:v>0.18929670329670301</c:v>
                </c:pt>
                <c:pt idx="55">
                  <c:v>0.20299633699633671</c:v>
                </c:pt>
                <c:pt idx="56">
                  <c:v>0.2154065934065931</c:v>
                </c:pt>
                <c:pt idx="57">
                  <c:v>0.21975824175824146</c:v>
                </c:pt>
                <c:pt idx="58">
                  <c:v>0.21589010989010959</c:v>
                </c:pt>
                <c:pt idx="59">
                  <c:v>0.20460805860805834</c:v>
                </c:pt>
                <c:pt idx="60">
                  <c:v>0.19284249084249055</c:v>
                </c:pt>
                <c:pt idx="61">
                  <c:v>0.16882783882783875</c:v>
                </c:pt>
                <c:pt idx="62">
                  <c:v>0.14674725274725275</c:v>
                </c:pt>
                <c:pt idx="63">
                  <c:v>0.11515750915750934</c:v>
                </c:pt>
                <c:pt idx="64">
                  <c:v>8.0989010989010957E-2</c:v>
                </c:pt>
                <c:pt idx="65">
                  <c:v>4.5692307692307726E-2</c:v>
                </c:pt>
                <c:pt idx="66">
                  <c:v>8.1391941391943945E-3</c:v>
                </c:pt>
                <c:pt idx="67">
                  <c:v>2.9413919413919215E-2</c:v>
                </c:pt>
                <c:pt idx="68">
                  <c:v>6.3098901098901011E-2</c:v>
                </c:pt>
                <c:pt idx="69">
                  <c:v>9.7428571428571226E-2</c:v>
                </c:pt>
                <c:pt idx="70">
                  <c:v>0.12482783882783863</c:v>
                </c:pt>
                <c:pt idx="71">
                  <c:v>0.15335531135531125</c:v>
                </c:pt>
                <c:pt idx="72">
                  <c:v>0.17575824175824165</c:v>
                </c:pt>
                <c:pt idx="73">
                  <c:v>0.19332600732600727</c:v>
                </c:pt>
                <c:pt idx="74">
                  <c:v>0.20315750915750883</c:v>
                </c:pt>
                <c:pt idx="75">
                  <c:v>0.20380219780219741</c:v>
                </c:pt>
                <c:pt idx="76">
                  <c:v>0.20541391941391904</c:v>
                </c:pt>
                <c:pt idx="77">
                  <c:v>0.19203663003662988</c:v>
                </c:pt>
                <c:pt idx="78">
                  <c:v>0.1794652014652012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21-49DA-AAA3-36597E2DFF4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Sheet1!$A$2:$A$80</c:f>
              <c:numCache>
                <c:formatCode>General</c:formatCode>
                <c:ptCount val="79"/>
                <c:pt idx="0">
                  <c:v>0</c:v>
                </c:pt>
                <c:pt idx="1">
                  <c:v>4.9930000000000003</c:v>
                </c:pt>
                <c:pt idx="2">
                  <c:v>9.9979999999999993</c:v>
                </c:pt>
                <c:pt idx="3">
                  <c:v>14.996</c:v>
                </c:pt>
                <c:pt idx="4">
                  <c:v>20.012</c:v>
                </c:pt>
                <c:pt idx="5">
                  <c:v>25.01</c:v>
                </c:pt>
                <c:pt idx="6">
                  <c:v>30.009</c:v>
                </c:pt>
                <c:pt idx="7">
                  <c:v>35.002000000000002</c:v>
                </c:pt>
                <c:pt idx="8">
                  <c:v>40.006999999999998</c:v>
                </c:pt>
                <c:pt idx="9">
                  <c:v>44.994999999999997</c:v>
                </c:pt>
                <c:pt idx="10">
                  <c:v>49.993000000000002</c:v>
                </c:pt>
                <c:pt idx="11">
                  <c:v>54.991999999999997</c:v>
                </c:pt>
                <c:pt idx="12">
                  <c:v>59.991</c:v>
                </c:pt>
                <c:pt idx="13">
                  <c:v>65.006</c:v>
                </c:pt>
                <c:pt idx="14">
                  <c:v>70.004999999999995</c:v>
                </c:pt>
                <c:pt idx="15">
                  <c:v>74.992999999999995</c:v>
                </c:pt>
                <c:pt idx="16">
                  <c:v>80.007999999999996</c:v>
                </c:pt>
                <c:pt idx="17">
                  <c:v>84.995999999999995</c:v>
                </c:pt>
                <c:pt idx="18">
                  <c:v>89.995000000000005</c:v>
                </c:pt>
                <c:pt idx="19">
                  <c:v>95.004000000000005</c:v>
                </c:pt>
                <c:pt idx="20">
                  <c:v>100.003</c:v>
                </c:pt>
                <c:pt idx="21">
                  <c:v>105.00700000000001</c:v>
                </c:pt>
                <c:pt idx="22">
                  <c:v>109.99</c:v>
                </c:pt>
                <c:pt idx="23">
                  <c:v>115.005</c:v>
                </c:pt>
                <c:pt idx="24">
                  <c:v>119.99299999999999</c:v>
                </c:pt>
                <c:pt idx="25">
                  <c:v>125.002</c:v>
                </c:pt>
                <c:pt idx="26">
                  <c:v>129.99600000000001</c:v>
                </c:pt>
                <c:pt idx="27">
                  <c:v>135.005</c:v>
                </c:pt>
                <c:pt idx="28">
                  <c:v>139.99299999999999</c:v>
                </c:pt>
                <c:pt idx="29">
                  <c:v>145.00299999999999</c:v>
                </c:pt>
                <c:pt idx="30">
                  <c:v>149.98500000000001</c:v>
                </c:pt>
                <c:pt idx="31">
                  <c:v>154.99</c:v>
                </c:pt>
                <c:pt idx="32">
                  <c:v>160.01</c:v>
                </c:pt>
                <c:pt idx="33">
                  <c:v>165.00899999999999</c:v>
                </c:pt>
                <c:pt idx="34">
                  <c:v>170.00200000000001</c:v>
                </c:pt>
                <c:pt idx="35">
                  <c:v>175.00700000000001</c:v>
                </c:pt>
                <c:pt idx="36">
                  <c:v>179.98400000000001</c:v>
                </c:pt>
                <c:pt idx="37">
                  <c:v>184.982</c:v>
                </c:pt>
                <c:pt idx="38">
                  <c:v>190.00899999999999</c:v>
                </c:pt>
                <c:pt idx="39">
                  <c:v>194.99600000000001</c:v>
                </c:pt>
                <c:pt idx="40">
                  <c:v>200.006</c:v>
                </c:pt>
                <c:pt idx="41">
                  <c:v>205.01</c:v>
                </c:pt>
                <c:pt idx="42">
                  <c:v>209.982</c:v>
                </c:pt>
                <c:pt idx="43">
                  <c:v>215.00800000000001</c:v>
                </c:pt>
                <c:pt idx="44">
                  <c:v>219.99</c:v>
                </c:pt>
                <c:pt idx="45">
                  <c:v>224.989</c:v>
                </c:pt>
                <c:pt idx="46">
                  <c:v>230.01</c:v>
                </c:pt>
                <c:pt idx="47">
                  <c:v>234.99799999999999</c:v>
                </c:pt>
                <c:pt idx="48">
                  <c:v>239.99100000000001</c:v>
                </c:pt>
                <c:pt idx="49">
                  <c:v>244.98400000000001</c:v>
                </c:pt>
                <c:pt idx="50">
                  <c:v>249.988</c:v>
                </c:pt>
                <c:pt idx="51">
                  <c:v>254.99299999999999</c:v>
                </c:pt>
                <c:pt idx="52">
                  <c:v>260.00799999999998</c:v>
                </c:pt>
                <c:pt idx="53">
                  <c:v>265.00700000000001</c:v>
                </c:pt>
                <c:pt idx="54">
                  <c:v>270.005</c:v>
                </c:pt>
                <c:pt idx="55">
                  <c:v>275.01</c:v>
                </c:pt>
                <c:pt idx="56">
                  <c:v>279.99799999999999</c:v>
                </c:pt>
                <c:pt idx="57">
                  <c:v>285.01299999999998</c:v>
                </c:pt>
                <c:pt idx="58">
                  <c:v>289.97899999999998</c:v>
                </c:pt>
                <c:pt idx="59">
                  <c:v>294.99400000000003</c:v>
                </c:pt>
                <c:pt idx="60">
                  <c:v>299.99299999999999</c:v>
                </c:pt>
                <c:pt idx="61">
                  <c:v>304.98599999999999</c:v>
                </c:pt>
                <c:pt idx="62">
                  <c:v>310.00099999999998</c:v>
                </c:pt>
                <c:pt idx="63">
                  <c:v>315.01100000000002</c:v>
                </c:pt>
                <c:pt idx="64">
                  <c:v>320.00400000000002</c:v>
                </c:pt>
                <c:pt idx="65">
                  <c:v>325.00900000000001</c:v>
                </c:pt>
                <c:pt idx="66">
                  <c:v>330.00700000000001</c:v>
                </c:pt>
                <c:pt idx="67">
                  <c:v>334.995</c:v>
                </c:pt>
                <c:pt idx="68">
                  <c:v>339.99400000000003</c:v>
                </c:pt>
                <c:pt idx="69">
                  <c:v>344.98200000000003</c:v>
                </c:pt>
                <c:pt idx="70">
                  <c:v>350.00200000000001</c:v>
                </c:pt>
                <c:pt idx="71">
                  <c:v>355.00099999999998</c:v>
                </c:pt>
                <c:pt idx="72">
                  <c:v>360.01100000000002</c:v>
                </c:pt>
                <c:pt idx="73">
                  <c:v>365.00400000000002</c:v>
                </c:pt>
                <c:pt idx="74">
                  <c:v>369.99799999999999</c:v>
                </c:pt>
                <c:pt idx="75">
                  <c:v>375.00700000000001</c:v>
                </c:pt>
                <c:pt idx="76">
                  <c:v>380.00599999999997</c:v>
                </c:pt>
                <c:pt idx="77">
                  <c:v>385.005</c:v>
                </c:pt>
                <c:pt idx="78">
                  <c:v>389.99799999999999</c:v>
                </c:pt>
              </c:numCache>
            </c:numRef>
          </c:xVal>
          <c:yVal>
            <c:numRef>
              <c:f>Sheet1!$P$2:$P$80</c:f>
              <c:numCache>
                <c:formatCode>General</c:formatCode>
                <c:ptCount val="79"/>
                <c:pt idx="0">
                  <c:v>0.43045476026708263</c:v>
                </c:pt>
                <c:pt idx="1">
                  <c:v>0.46926776999489983</c:v>
                </c:pt>
                <c:pt idx="2">
                  <c:v>0.50401465489408892</c:v>
                </c:pt>
                <c:pt idx="3">
                  <c:v>0.49810029150699309</c:v>
                </c:pt>
                <c:pt idx="4">
                  <c:v>0.48738050786788134</c:v>
                </c:pt>
                <c:pt idx="5">
                  <c:v>0.47111600855336744</c:v>
                </c:pt>
                <c:pt idx="6">
                  <c:v>0.43599947594248556</c:v>
                </c:pt>
                <c:pt idx="7">
                  <c:v>0.36022169504531687</c:v>
                </c:pt>
                <c:pt idx="8">
                  <c:v>0.31401573108363001</c:v>
                </c:pt>
                <c:pt idx="9">
                  <c:v>0.23454147306952666</c:v>
                </c:pt>
                <c:pt idx="10">
                  <c:v>0.15913333988405165</c:v>
                </c:pt>
                <c:pt idx="11">
                  <c:v>6.6721411960676491E-2</c:v>
                </c:pt>
                <c:pt idx="12">
                  <c:v>7.5777780897169911E-3</c:v>
                </c:pt>
                <c:pt idx="13">
                  <c:v>9.1857456355835365E-2</c:v>
                </c:pt>
                <c:pt idx="14">
                  <c:v>0.17539783919856711</c:v>
                </c:pt>
                <c:pt idx="15">
                  <c:v>0.24304337043847729</c:v>
                </c:pt>
                <c:pt idx="16">
                  <c:v>0.31734256048887116</c:v>
                </c:pt>
                <c:pt idx="17">
                  <c:v>0.37981302376507331</c:v>
                </c:pt>
                <c:pt idx="18">
                  <c:v>0.42934581713200154</c:v>
                </c:pt>
                <c:pt idx="19">
                  <c:v>0.46372305431949723</c:v>
                </c:pt>
                <c:pt idx="20">
                  <c:v>0.4903376895614292</c:v>
                </c:pt>
                <c:pt idx="21">
                  <c:v>0.50253606404731488</c:v>
                </c:pt>
                <c:pt idx="22">
                  <c:v>0.49218592811989675</c:v>
                </c:pt>
                <c:pt idx="23">
                  <c:v>0.46963741770659323</c:v>
                </c:pt>
                <c:pt idx="24">
                  <c:v>0.43969595305941961</c:v>
                </c:pt>
                <c:pt idx="25">
                  <c:v>0.38461844401708861</c:v>
                </c:pt>
                <c:pt idx="26">
                  <c:v>0.32510516243443421</c:v>
                </c:pt>
                <c:pt idx="27">
                  <c:v>0.25598104034775021</c:v>
                </c:pt>
                <c:pt idx="28">
                  <c:v>0.1779853731804214</c:v>
                </c:pt>
                <c:pt idx="29">
                  <c:v>9.8880762878012118E-2</c:v>
                </c:pt>
                <c:pt idx="30">
                  <c:v>1.0165312071571675E-2</c:v>
                </c:pt>
                <c:pt idx="31">
                  <c:v>8.3355558986884071E-2</c:v>
                </c:pt>
                <c:pt idx="32">
                  <c:v>0.16578699869453528</c:v>
                </c:pt>
                <c:pt idx="33">
                  <c:v>0.23786830247476765</c:v>
                </c:pt>
                <c:pt idx="34">
                  <c:v>0.30921031083161388</c:v>
                </c:pt>
                <c:pt idx="35">
                  <c:v>0.3635485244505583</c:v>
                </c:pt>
                <c:pt idx="36">
                  <c:v>0.41271167010579435</c:v>
                </c:pt>
                <c:pt idx="37">
                  <c:v>0.44487102102312859</c:v>
                </c:pt>
                <c:pt idx="38">
                  <c:v>0.4703767131299802</c:v>
                </c:pt>
                <c:pt idx="39">
                  <c:v>0.47555178109368978</c:v>
                </c:pt>
                <c:pt idx="40">
                  <c:v>0.46335340660780377</c:v>
                </c:pt>
                <c:pt idx="41">
                  <c:v>0.4419138393295805</c:v>
                </c:pt>
                <c:pt idx="42">
                  <c:v>0.39718646621466769</c:v>
                </c:pt>
                <c:pt idx="43">
                  <c:v>0.34691437742435116</c:v>
                </c:pt>
                <c:pt idx="44">
                  <c:v>0.28185638016629444</c:v>
                </c:pt>
                <c:pt idx="45">
                  <c:v>0.21273225807960916</c:v>
                </c:pt>
                <c:pt idx="46">
                  <c:v>0.12771328439010465</c:v>
                </c:pt>
                <c:pt idx="47">
                  <c:v>4.3433606123986723E-2</c:v>
                </c:pt>
                <c:pt idx="48">
                  <c:v>4.1215719853826327E-2</c:v>
                </c:pt>
                <c:pt idx="49">
                  <c:v>0.12179892100300932</c:v>
                </c:pt>
                <c:pt idx="50">
                  <c:v>0.197207054188484</c:v>
                </c:pt>
                <c:pt idx="51">
                  <c:v>0.26780976712194238</c:v>
                </c:pt>
                <c:pt idx="52">
                  <c:v>0.33582494607354701</c:v>
                </c:pt>
                <c:pt idx="53">
                  <c:v>0.39385963680942654</c:v>
                </c:pt>
                <c:pt idx="54">
                  <c:v>0.43415123738401706</c:v>
                </c:pt>
                <c:pt idx="55">
                  <c:v>0.46557129287796473</c:v>
                </c:pt>
                <c:pt idx="56">
                  <c:v>0.49403416667836431</c:v>
                </c:pt>
                <c:pt idx="57">
                  <c:v>0.50401465489408881</c:v>
                </c:pt>
                <c:pt idx="58">
                  <c:v>0.49514310981344478</c:v>
                </c:pt>
                <c:pt idx="59">
                  <c:v>0.46926776999489972</c:v>
                </c:pt>
                <c:pt idx="60">
                  <c:v>0.44228348704127407</c:v>
                </c:pt>
                <c:pt idx="61">
                  <c:v>0.3872059779989428</c:v>
                </c:pt>
                <c:pt idx="62">
                  <c:v>0.33656424149693331</c:v>
                </c:pt>
                <c:pt idx="63">
                  <c:v>0.26411329000500738</c:v>
                </c:pt>
                <c:pt idx="64">
                  <c:v>0.18574797512598451</c:v>
                </c:pt>
                <c:pt idx="65">
                  <c:v>0.10479512626510779</c:v>
                </c:pt>
                <c:pt idx="66">
                  <c:v>1.8667209440522414E-2</c:v>
                </c:pt>
                <c:pt idx="67">
                  <c:v>6.7460707384063623E-2</c:v>
                </c:pt>
                <c:pt idx="68">
                  <c:v>0.14471707912800569</c:v>
                </c:pt>
                <c:pt idx="69">
                  <c:v>0.22345204171872135</c:v>
                </c:pt>
                <c:pt idx="70">
                  <c:v>0.28629215270661657</c:v>
                </c:pt>
                <c:pt idx="71">
                  <c:v>0.35171979767636663</c:v>
                </c:pt>
                <c:pt idx="72">
                  <c:v>0.4031008296017633</c:v>
                </c:pt>
                <c:pt idx="73">
                  <c:v>0.4433924301763551</c:v>
                </c:pt>
                <c:pt idx="74">
                  <c:v>0.46594094058965807</c:v>
                </c:pt>
                <c:pt idx="75">
                  <c:v>0.467419531436432</c:v>
                </c:pt>
                <c:pt idx="76">
                  <c:v>0.47111600855336699</c:v>
                </c:pt>
                <c:pt idx="77">
                  <c:v>0.44043524848280691</c:v>
                </c:pt>
                <c:pt idx="78">
                  <c:v>0.41160272697071354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21-49DA-AAA3-36597E2D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13247"/>
        <c:axId val="201414911"/>
      </c:scatterChart>
      <c:valAx>
        <c:axId val="20141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911"/>
        <c:crosses val="autoZero"/>
        <c:crossBetween val="midCat"/>
      </c:valAx>
      <c:valAx>
        <c:axId val="2014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14</xdr:row>
      <xdr:rowOff>95250</xdr:rowOff>
    </xdr:from>
    <xdr:to>
      <xdr:col>15</xdr:col>
      <xdr:colOff>495299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02326-39AB-478D-B630-39923DA00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13</xdr:row>
      <xdr:rowOff>14287</xdr:rowOff>
    </xdr:from>
    <xdr:to>
      <xdr:col>15</xdr:col>
      <xdr:colOff>581025</xdr:colOff>
      <xdr:row>27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EDB682-331E-4686-AD9E-D67294F56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323850</xdr:colOff>
      <xdr:row>3</xdr:row>
      <xdr:rowOff>133350</xdr:rowOff>
    </xdr:from>
    <xdr:to>
      <xdr:col>32</xdr:col>
      <xdr:colOff>57150</xdr:colOff>
      <xdr:row>32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A6BCB-DFB1-40C1-BC29-DB5E74D4F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opLeftCell="A58" workbookViewId="0">
      <selection activeCell="K74" sqref="K74:K8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J1">
        <v>6.5091111420225264E-2</v>
      </c>
    </row>
    <row r="2" spans="1:10" x14ac:dyDescent="0.25">
      <c r="A2">
        <v>0</v>
      </c>
      <c r="B2">
        <v>0.47545787545787499</v>
      </c>
      <c r="C2">
        <v>0.47384615384615297</v>
      </c>
      <c r="D2">
        <v>0.47142857142857097</v>
      </c>
      <c r="E2">
        <v>0.46417582417582398</v>
      </c>
      <c r="F2">
        <v>0.46901098901098898</v>
      </c>
      <c r="G2">
        <f>AVERAGE(B2:F80)</f>
        <v>0.29508378541289892</v>
      </c>
      <c r="H2">
        <f>ABS(AVERAGE(B2:F2)-G2-$J$1)</f>
        <v>0.1106089859507582</v>
      </c>
    </row>
    <row r="3" spans="1:10" x14ac:dyDescent="0.25">
      <c r="A3">
        <v>4.9930000000000003</v>
      </c>
      <c r="B3">
        <v>0.47465201465201401</v>
      </c>
      <c r="C3">
        <v>0.49076923076923001</v>
      </c>
      <c r="D3">
        <v>0.489157509157509</v>
      </c>
      <c r="E3">
        <v>0.49157509157509099</v>
      </c>
      <c r="F3">
        <v>0.49238095238095198</v>
      </c>
      <c r="G3">
        <f>$G$2</f>
        <v>0.29508378541289892</v>
      </c>
      <c r="H3">
        <f t="shared" ref="H3:H66" si="0">ABS(AVERAGE(B3:F3)-G3-$J$1)</f>
        <v>0.12753206287383495</v>
      </c>
    </row>
    <row r="4" spans="1:10" x14ac:dyDescent="0.25">
      <c r="A4">
        <v>9.9979999999999993</v>
      </c>
      <c r="B4">
        <v>0.49963369963369902</v>
      </c>
      <c r="C4">
        <v>0.502857142857142</v>
      </c>
      <c r="D4">
        <v>0.502857142857142</v>
      </c>
      <c r="E4">
        <v>0.50446886446886396</v>
      </c>
      <c r="F4">
        <v>0.50446886446886396</v>
      </c>
      <c r="G4">
        <f t="shared" ref="G4:G67" si="1">$G$2</f>
        <v>0.29508378541289892</v>
      </c>
      <c r="H4">
        <f t="shared" si="0"/>
        <v>0.14268224602401791</v>
      </c>
    </row>
    <row r="5" spans="1:10" x14ac:dyDescent="0.25">
      <c r="A5">
        <v>14.996</v>
      </c>
      <c r="B5">
        <v>0.502857142857142</v>
      </c>
      <c r="C5">
        <v>0.49721611721611703</v>
      </c>
      <c r="D5">
        <v>0.50446886446886396</v>
      </c>
      <c r="E5">
        <v>0.50043956043955995</v>
      </c>
      <c r="F5">
        <v>0.49641025641025599</v>
      </c>
      <c r="G5">
        <f t="shared" si="1"/>
        <v>0.29508378541289892</v>
      </c>
      <c r="H5">
        <f>ABS(AVERAGE(B5:F5)-G5-$J$1)</f>
        <v>0.14010349144526357</v>
      </c>
    </row>
    <row r="6" spans="1:10" x14ac:dyDescent="0.25">
      <c r="A6">
        <v>20.012</v>
      </c>
      <c r="B6">
        <v>0.49641025641025599</v>
      </c>
      <c r="C6">
        <v>0.49479853479853397</v>
      </c>
      <c r="D6">
        <v>0.486739926739926</v>
      </c>
      <c r="E6">
        <v>0.50124542124542104</v>
      </c>
      <c r="F6">
        <v>0.49882783882783799</v>
      </c>
      <c r="G6">
        <f t="shared" si="1"/>
        <v>0.29508378541289892</v>
      </c>
      <c r="H6">
        <f t="shared" si="0"/>
        <v>0.1354294987712707</v>
      </c>
    </row>
    <row r="7" spans="1:10" x14ac:dyDescent="0.25">
      <c r="A7">
        <v>25.01</v>
      </c>
      <c r="B7">
        <v>0.48512820512820498</v>
      </c>
      <c r="C7">
        <v>0.48754578754578698</v>
      </c>
      <c r="D7">
        <v>0.481904761904761</v>
      </c>
      <c r="E7">
        <v>0.49641025641025599</v>
      </c>
      <c r="F7">
        <v>0.49157509157509099</v>
      </c>
      <c r="G7">
        <f t="shared" si="1"/>
        <v>0.29508378541289892</v>
      </c>
      <c r="H7">
        <f t="shared" si="0"/>
        <v>0.12833792367969576</v>
      </c>
    </row>
    <row r="8" spans="1:10" x14ac:dyDescent="0.25">
      <c r="A8">
        <v>30.009</v>
      </c>
      <c r="B8">
        <v>0.47706959706959701</v>
      </c>
      <c r="C8">
        <v>0.47626373626373603</v>
      </c>
      <c r="D8">
        <v>0.47626373626373603</v>
      </c>
      <c r="E8">
        <v>0.47223443223443201</v>
      </c>
      <c r="F8">
        <v>0.46417582417582398</v>
      </c>
      <c r="G8">
        <f>$G$2</f>
        <v>0.29508378541289892</v>
      </c>
      <c r="H8">
        <f t="shared" si="0"/>
        <v>0.11302656836834081</v>
      </c>
    </row>
    <row r="9" spans="1:10" x14ac:dyDescent="0.25">
      <c r="A9">
        <v>35.002000000000002</v>
      </c>
      <c r="B9">
        <v>0.44644688644688602</v>
      </c>
      <c r="C9">
        <v>0.44644688644688602</v>
      </c>
      <c r="D9">
        <v>0.43194139194139097</v>
      </c>
      <c r="E9">
        <v>0.43032967032967001</v>
      </c>
      <c r="F9">
        <v>0.44564102564102498</v>
      </c>
      <c r="G9">
        <f t="shared" si="1"/>
        <v>0.29508378541289892</v>
      </c>
      <c r="H9">
        <f t="shared" si="0"/>
        <v>7.9986275328047432E-2</v>
      </c>
    </row>
    <row r="10" spans="1:10" x14ac:dyDescent="0.25">
      <c r="A10">
        <v>40.006999999999998</v>
      </c>
      <c r="B10">
        <v>0.42227106227106198</v>
      </c>
      <c r="C10">
        <v>0.42065934065934002</v>
      </c>
      <c r="D10">
        <v>0.419047619047619</v>
      </c>
      <c r="E10">
        <v>0.419047619047619</v>
      </c>
      <c r="F10">
        <v>0.419047619047619</v>
      </c>
      <c r="G10">
        <f t="shared" si="1"/>
        <v>0.29508378541289892</v>
      </c>
      <c r="H10">
        <f t="shared" si="0"/>
        <v>5.9839755181527635E-2</v>
      </c>
    </row>
    <row r="11" spans="1:10" x14ac:dyDescent="0.25">
      <c r="A11">
        <v>44.994999999999997</v>
      </c>
      <c r="B11">
        <v>0.38358974358974302</v>
      </c>
      <c r="C11">
        <v>0.38842490842490801</v>
      </c>
      <c r="D11">
        <v>0.38520146520146498</v>
      </c>
      <c r="E11">
        <v>0.38520146520146498</v>
      </c>
      <c r="F11">
        <v>0.384395604395604</v>
      </c>
      <c r="G11">
        <f t="shared" si="1"/>
        <v>0.29508378541289892</v>
      </c>
      <c r="H11">
        <f t="shared" si="0"/>
        <v>2.5187740529512795E-2</v>
      </c>
    </row>
    <row r="12" spans="1:10" x14ac:dyDescent="0.25">
      <c r="A12">
        <v>49.993000000000002</v>
      </c>
      <c r="B12">
        <v>0.353772893772893</v>
      </c>
      <c r="C12">
        <v>0.353772893772893</v>
      </c>
      <c r="D12">
        <v>0.35054945054945003</v>
      </c>
      <c r="E12">
        <v>0.35135531135531101</v>
      </c>
      <c r="F12">
        <v>0.35296703296703202</v>
      </c>
      <c r="G12">
        <f t="shared" si="1"/>
        <v>0.29508378541289892</v>
      </c>
      <c r="H12">
        <f t="shared" si="0"/>
        <v>7.6913803496084093E-3</v>
      </c>
    </row>
    <row r="13" spans="1:10" x14ac:dyDescent="0.25">
      <c r="A13">
        <v>54.991999999999997</v>
      </c>
      <c r="B13">
        <v>0.314285714285714</v>
      </c>
      <c r="C13">
        <v>0.31267399267399199</v>
      </c>
      <c r="D13">
        <v>0.30783882783882699</v>
      </c>
      <c r="E13">
        <v>0.31267399267399199</v>
      </c>
      <c r="F13">
        <v>0.31347985347985302</v>
      </c>
      <c r="G13">
        <f t="shared" si="1"/>
        <v>0.29508378541289892</v>
      </c>
      <c r="H13">
        <f t="shared" si="0"/>
        <v>4.7984420642648615E-2</v>
      </c>
    </row>
    <row r="14" spans="1:10" x14ac:dyDescent="0.25">
      <c r="A14">
        <v>59.991</v>
      </c>
      <c r="B14">
        <v>0.27802197802197798</v>
      </c>
      <c r="C14">
        <v>0.279633699633699</v>
      </c>
      <c r="D14">
        <v>0.27802197802197798</v>
      </c>
      <c r="E14">
        <v>0.28043956043955998</v>
      </c>
      <c r="F14">
        <v>0.28285714285714197</v>
      </c>
      <c r="G14">
        <f t="shared" si="1"/>
        <v>0.29508378541289892</v>
      </c>
      <c r="H14">
        <f t="shared" si="0"/>
        <v>8.0380025038252798E-2</v>
      </c>
    </row>
    <row r="15" spans="1:10" x14ac:dyDescent="0.25">
      <c r="A15">
        <v>65.006</v>
      </c>
      <c r="B15">
        <v>0.24175824175824101</v>
      </c>
      <c r="C15">
        <v>0.243369963369963</v>
      </c>
      <c r="D15">
        <v>0.24417582417582401</v>
      </c>
      <c r="E15">
        <v>0.24417582417582401</v>
      </c>
      <c r="F15">
        <v>0.24175824175824101</v>
      </c>
      <c r="G15">
        <f t="shared" si="1"/>
        <v>0.29508378541289892</v>
      </c>
      <c r="H15">
        <f t="shared" si="0"/>
        <v>0.11712727778550554</v>
      </c>
    </row>
    <row r="16" spans="1:10" x14ac:dyDescent="0.25">
      <c r="A16">
        <v>70.004999999999995</v>
      </c>
      <c r="B16">
        <v>0.20630036630036599</v>
      </c>
      <c r="C16">
        <v>0.21113553113553099</v>
      </c>
      <c r="D16">
        <v>0.203882783882783</v>
      </c>
      <c r="E16">
        <v>0.203882783882783</v>
      </c>
      <c r="F16">
        <v>0.20791208791208701</v>
      </c>
      <c r="G16">
        <f t="shared" si="1"/>
        <v>0.29508378541289892</v>
      </c>
      <c r="H16">
        <f t="shared" si="0"/>
        <v>0.15355218621041417</v>
      </c>
    </row>
    <row r="17" spans="1:8" x14ac:dyDescent="0.25">
      <c r="A17">
        <v>74.992999999999995</v>
      </c>
      <c r="B17">
        <v>0.178095238095238</v>
      </c>
      <c r="C17">
        <v>0.17890109890109801</v>
      </c>
      <c r="D17">
        <v>0.17326007326007301</v>
      </c>
      <c r="E17">
        <v>0.178095238095238</v>
      </c>
      <c r="F17">
        <v>0.17728937728937699</v>
      </c>
      <c r="G17">
        <f t="shared" si="1"/>
        <v>0.29508378541289892</v>
      </c>
      <c r="H17">
        <f t="shared" si="0"/>
        <v>0.18304669170491938</v>
      </c>
    </row>
    <row r="18" spans="1:8" x14ac:dyDescent="0.25">
      <c r="A18">
        <v>80.007999999999996</v>
      </c>
      <c r="B18">
        <v>0.144249084249084</v>
      </c>
      <c r="C18">
        <v>0.144249084249084</v>
      </c>
      <c r="D18">
        <v>0.141025641025641</v>
      </c>
      <c r="E18">
        <v>0.14586080586080499</v>
      </c>
      <c r="F18">
        <v>0.14827838827838799</v>
      </c>
      <c r="G18">
        <f t="shared" si="1"/>
        <v>0.29508378541289892</v>
      </c>
      <c r="H18">
        <f t="shared" si="0"/>
        <v>0.21544229610052379</v>
      </c>
    </row>
    <row r="19" spans="1:8" x14ac:dyDescent="0.25">
      <c r="A19">
        <v>84.995999999999995</v>
      </c>
      <c r="B19">
        <v>0.117655677655677</v>
      </c>
      <c r="C19">
        <v>0.117655677655677</v>
      </c>
      <c r="D19">
        <v>0.116043956043956</v>
      </c>
      <c r="E19">
        <v>0.11846153846153799</v>
      </c>
      <c r="F19">
        <v>0.117655677655677</v>
      </c>
      <c r="G19">
        <f t="shared" si="1"/>
        <v>0.29508378541289892</v>
      </c>
      <c r="H19">
        <f t="shared" si="0"/>
        <v>0.24268039133861918</v>
      </c>
    </row>
    <row r="20" spans="1:8" x14ac:dyDescent="0.25">
      <c r="A20">
        <v>89.995000000000005</v>
      </c>
      <c r="B20">
        <v>9.8315018315018293E-2</v>
      </c>
      <c r="C20">
        <v>9.3479853479853395E-2</v>
      </c>
      <c r="D20">
        <v>9.9120879120879093E-2</v>
      </c>
      <c r="E20">
        <v>9.5897435897435795E-2</v>
      </c>
      <c r="F20">
        <v>9.2673992673992595E-2</v>
      </c>
      <c r="G20">
        <f t="shared" si="1"/>
        <v>0.29508378541289892</v>
      </c>
      <c r="H20">
        <f t="shared" si="0"/>
        <v>0.26427746093568838</v>
      </c>
    </row>
    <row r="21" spans="1:8" x14ac:dyDescent="0.25">
      <c r="A21">
        <v>95.004000000000005</v>
      </c>
      <c r="B21">
        <v>7.9780219780219694E-2</v>
      </c>
      <c r="C21">
        <v>7.8168498168498093E-2</v>
      </c>
      <c r="D21">
        <v>7.8168498168498093E-2</v>
      </c>
      <c r="E21">
        <v>8.0586080586080494E-2</v>
      </c>
      <c r="F21">
        <v>8.7838827838827793E-2</v>
      </c>
      <c r="G21">
        <f t="shared" si="1"/>
        <v>0.29508378541289892</v>
      </c>
      <c r="H21">
        <f t="shared" si="0"/>
        <v>0.27926647192469939</v>
      </c>
    </row>
    <row r="22" spans="1:8" x14ac:dyDescent="0.25">
      <c r="A22">
        <v>100.003</v>
      </c>
      <c r="B22">
        <v>6.7692307692307593E-2</v>
      </c>
      <c r="C22">
        <v>6.8498168498168505E-2</v>
      </c>
      <c r="D22">
        <v>7.2527472527472506E-2</v>
      </c>
      <c r="E22">
        <v>6.8498168498168505E-2</v>
      </c>
      <c r="F22">
        <v>6.9304029304029305E-2</v>
      </c>
      <c r="G22">
        <f t="shared" si="1"/>
        <v>0.29508378541289892</v>
      </c>
      <c r="H22">
        <f t="shared" si="0"/>
        <v>0.29087086752909491</v>
      </c>
    </row>
    <row r="23" spans="1:8" x14ac:dyDescent="0.25">
      <c r="A23">
        <v>105.00700000000001</v>
      </c>
      <c r="B23">
        <v>6.1245421245421199E-2</v>
      </c>
      <c r="C23">
        <v>6.5274725274725207E-2</v>
      </c>
      <c r="D23">
        <v>6.4468864468864406E-2</v>
      </c>
      <c r="E23">
        <v>6.6886446886446793E-2</v>
      </c>
      <c r="F23">
        <v>6.2051282051281999E-2</v>
      </c>
      <c r="G23">
        <f t="shared" si="1"/>
        <v>0.29508378541289892</v>
      </c>
      <c r="H23">
        <f t="shared" si="0"/>
        <v>0.29618954884777626</v>
      </c>
    </row>
    <row r="24" spans="1:8" x14ac:dyDescent="0.25">
      <c r="A24">
        <v>109.99</v>
      </c>
      <c r="B24">
        <v>6.4468864468864406E-2</v>
      </c>
      <c r="C24">
        <v>7.0109890109890105E-2</v>
      </c>
      <c r="D24">
        <v>6.7692307692307593E-2</v>
      </c>
      <c r="E24">
        <v>7.0109890109890105E-2</v>
      </c>
      <c r="F24">
        <v>7.0109890109890105E-2</v>
      </c>
      <c r="G24">
        <f t="shared" si="1"/>
        <v>0.29508378541289892</v>
      </c>
      <c r="H24">
        <f t="shared" si="0"/>
        <v>0.29167672833495573</v>
      </c>
    </row>
    <row r="25" spans="1:8" x14ac:dyDescent="0.25">
      <c r="A25">
        <v>115.005</v>
      </c>
      <c r="B25">
        <v>7.8974358974358894E-2</v>
      </c>
      <c r="C25">
        <v>7.6556776556776507E-2</v>
      </c>
      <c r="D25">
        <v>7.8974358974358894E-2</v>
      </c>
      <c r="E25">
        <v>7.8974358974358894E-2</v>
      </c>
      <c r="F25">
        <v>7.8168498168498093E-2</v>
      </c>
      <c r="G25">
        <f t="shared" si="1"/>
        <v>0.29508378541289892</v>
      </c>
      <c r="H25">
        <f t="shared" si="0"/>
        <v>0.28184522650345395</v>
      </c>
    </row>
    <row r="26" spans="1:8" x14ac:dyDescent="0.25">
      <c r="A26">
        <v>119.99299999999999</v>
      </c>
      <c r="B26">
        <v>9.2673992673992595E-2</v>
      </c>
      <c r="C26">
        <v>9.2673992673992595E-2</v>
      </c>
      <c r="D26">
        <v>9.1062271062270994E-2</v>
      </c>
      <c r="E26">
        <v>8.8644688644688593E-2</v>
      </c>
      <c r="F26">
        <v>9.1868131868131794E-2</v>
      </c>
      <c r="G26">
        <f t="shared" si="1"/>
        <v>0.29508378541289892</v>
      </c>
      <c r="H26">
        <f t="shared" si="0"/>
        <v>0.26879028144850886</v>
      </c>
    </row>
    <row r="27" spans="1:8" x14ac:dyDescent="0.25">
      <c r="A27">
        <v>125.002</v>
      </c>
      <c r="B27">
        <v>0.12007326007326</v>
      </c>
      <c r="C27">
        <v>0.113626373626373</v>
      </c>
      <c r="D27">
        <v>0.113626373626373</v>
      </c>
      <c r="E27">
        <v>0.116043956043956</v>
      </c>
      <c r="F27">
        <v>0.113626373626373</v>
      </c>
      <c r="G27">
        <f t="shared" si="1"/>
        <v>0.29508378541289892</v>
      </c>
      <c r="H27">
        <f t="shared" si="0"/>
        <v>0.24477562943385717</v>
      </c>
    </row>
    <row r="28" spans="1:8" x14ac:dyDescent="0.25">
      <c r="A28">
        <v>129.99600000000001</v>
      </c>
      <c r="B28">
        <v>0.144249084249084</v>
      </c>
      <c r="C28">
        <v>0.14505494505494501</v>
      </c>
      <c r="D28">
        <v>0.13699633699633701</v>
      </c>
      <c r="E28">
        <v>0.141025641025641</v>
      </c>
      <c r="F28">
        <v>0.13941391941391901</v>
      </c>
      <c r="G28">
        <f t="shared" si="1"/>
        <v>0.29508378541289892</v>
      </c>
      <c r="H28">
        <f t="shared" si="0"/>
        <v>0.218826911485139</v>
      </c>
    </row>
    <row r="29" spans="1:8" x14ac:dyDescent="0.25">
      <c r="A29">
        <v>135.005</v>
      </c>
      <c r="B29">
        <v>0.17406593406593401</v>
      </c>
      <c r="C29">
        <v>0.167619047619047</v>
      </c>
      <c r="D29">
        <v>0.17084249084249001</v>
      </c>
      <c r="E29">
        <v>0.17164835164835099</v>
      </c>
      <c r="F29">
        <v>0.17326007326007301</v>
      </c>
      <c r="G29">
        <f t="shared" si="1"/>
        <v>0.29508378541289892</v>
      </c>
      <c r="H29">
        <f t="shared" si="0"/>
        <v>0.18868771734594519</v>
      </c>
    </row>
    <row r="30" spans="1:8" x14ac:dyDescent="0.25">
      <c r="A30">
        <v>139.99299999999999</v>
      </c>
      <c r="B30">
        <v>0.209523809523809</v>
      </c>
      <c r="C30">
        <v>0.20227106227106201</v>
      </c>
      <c r="D30">
        <v>0.20791208791208701</v>
      </c>
      <c r="E30">
        <v>0.20871794871794799</v>
      </c>
      <c r="F30">
        <v>0.199047619047619</v>
      </c>
      <c r="G30">
        <f t="shared" si="1"/>
        <v>0.29508378541289892</v>
      </c>
      <c r="H30">
        <f t="shared" si="0"/>
        <v>0.15468039133861922</v>
      </c>
    </row>
    <row r="31" spans="1:8" x14ac:dyDescent="0.25">
      <c r="A31">
        <v>145.00299999999999</v>
      </c>
      <c r="B31">
        <v>0.24095238095238</v>
      </c>
      <c r="C31">
        <v>0.23692307692307599</v>
      </c>
      <c r="D31">
        <v>0.238534798534798</v>
      </c>
      <c r="E31">
        <v>0.243369963369963</v>
      </c>
      <c r="F31">
        <v>0.24014652014651999</v>
      </c>
      <c r="G31">
        <f t="shared" si="1"/>
        <v>0.29508378541289892</v>
      </c>
      <c r="H31">
        <f t="shared" si="0"/>
        <v>0.12018954884777679</v>
      </c>
    </row>
    <row r="32" spans="1:8" x14ac:dyDescent="0.25">
      <c r="A32">
        <v>149.98500000000001</v>
      </c>
      <c r="B32">
        <v>0.28043956043955998</v>
      </c>
      <c r="C32">
        <v>0.27560439560439498</v>
      </c>
      <c r="D32">
        <v>0.277216117216117</v>
      </c>
      <c r="E32">
        <v>0.279633699633699</v>
      </c>
      <c r="F32">
        <v>0.28043956043955998</v>
      </c>
      <c r="G32">
        <f t="shared" si="1"/>
        <v>0.29508378541289892</v>
      </c>
      <c r="H32">
        <f t="shared" si="0"/>
        <v>8.1508230166458015E-2</v>
      </c>
    </row>
    <row r="33" spans="1:8" x14ac:dyDescent="0.25">
      <c r="A33">
        <v>154.99</v>
      </c>
      <c r="B33">
        <v>0.321538461538461</v>
      </c>
      <c r="C33">
        <v>0.316703296703296</v>
      </c>
      <c r="D33">
        <v>0.32073260073260002</v>
      </c>
      <c r="E33">
        <v>0.321538461538461</v>
      </c>
      <c r="F33">
        <v>0.316703296703296</v>
      </c>
      <c r="G33">
        <f t="shared" si="1"/>
        <v>0.29508378541289892</v>
      </c>
      <c r="H33">
        <f t="shared" si="0"/>
        <v>4.0731673389901343E-2</v>
      </c>
    </row>
    <row r="34" spans="1:8" x14ac:dyDescent="0.25">
      <c r="A34">
        <v>160.01</v>
      </c>
      <c r="B34">
        <v>0.35457875457875399</v>
      </c>
      <c r="C34">
        <v>0.35538461538461502</v>
      </c>
      <c r="D34">
        <v>0.361025641025641</v>
      </c>
      <c r="E34">
        <v>0.353772893772893</v>
      </c>
      <c r="F34">
        <v>0.35216117216117199</v>
      </c>
      <c r="G34">
        <f t="shared" si="1"/>
        <v>0.29508378541289892</v>
      </c>
      <c r="H34">
        <f t="shared" si="0"/>
        <v>4.7902814485092232E-3</v>
      </c>
    </row>
    <row r="35" spans="1:8" x14ac:dyDescent="0.25">
      <c r="A35">
        <v>165.00899999999999</v>
      </c>
      <c r="B35">
        <v>0.39164835164835099</v>
      </c>
      <c r="C35">
        <v>0.39245421245421203</v>
      </c>
      <c r="D35">
        <v>0.38278388278388198</v>
      </c>
      <c r="E35">
        <v>0.384395604395604</v>
      </c>
      <c r="F35">
        <v>0.38278388278388198</v>
      </c>
      <c r="G35">
        <f t="shared" si="1"/>
        <v>0.29508378541289892</v>
      </c>
      <c r="H35">
        <f t="shared" si="0"/>
        <v>2.6638289980062027E-2</v>
      </c>
    </row>
    <row r="36" spans="1:8" x14ac:dyDescent="0.25">
      <c r="A36">
        <v>170.00200000000001</v>
      </c>
      <c r="B36">
        <v>0.41582417582417502</v>
      </c>
      <c r="C36">
        <v>0.42065934065934002</v>
      </c>
      <c r="D36">
        <v>0.41582417582417502</v>
      </c>
      <c r="E36">
        <v>0.41824175824175802</v>
      </c>
      <c r="F36">
        <v>0.419047619047619</v>
      </c>
      <c r="G36">
        <f t="shared" si="1"/>
        <v>0.29508378541289892</v>
      </c>
      <c r="H36">
        <f t="shared" si="0"/>
        <v>5.7744517086289263E-2</v>
      </c>
    </row>
    <row r="37" spans="1:8" x14ac:dyDescent="0.25">
      <c r="A37">
        <v>175.00700000000001</v>
      </c>
      <c r="B37">
        <v>0.44161172161172102</v>
      </c>
      <c r="C37">
        <v>0.44322344322344298</v>
      </c>
      <c r="D37">
        <v>0.444835164835164</v>
      </c>
      <c r="E37">
        <v>0.44161172161172102</v>
      </c>
      <c r="F37">
        <v>0.43677655677655602</v>
      </c>
      <c r="G37">
        <f t="shared" si="1"/>
        <v>0.29508378541289892</v>
      </c>
      <c r="H37">
        <f t="shared" si="0"/>
        <v>8.1436824778596831E-2</v>
      </c>
    </row>
    <row r="38" spans="1:8" x14ac:dyDescent="0.25">
      <c r="A38">
        <v>179.98400000000001</v>
      </c>
      <c r="B38">
        <v>0.46417582417582398</v>
      </c>
      <c r="C38">
        <v>0.46095238095238</v>
      </c>
      <c r="D38">
        <v>0.46175824175824098</v>
      </c>
      <c r="E38">
        <v>0.46417582417582398</v>
      </c>
      <c r="F38">
        <v>0.46417582417582398</v>
      </c>
      <c r="G38">
        <f t="shared" si="1"/>
        <v>0.29508378541289892</v>
      </c>
      <c r="H38">
        <f t="shared" si="0"/>
        <v>0.10287272221449441</v>
      </c>
    </row>
    <row r="39" spans="1:8" x14ac:dyDescent="0.25">
      <c r="A39">
        <v>184.982</v>
      </c>
      <c r="B39">
        <v>0.47868131868131802</v>
      </c>
      <c r="C39">
        <v>0.479487179487179</v>
      </c>
      <c r="D39">
        <v>0.47384615384615297</v>
      </c>
      <c r="E39">
        <v>0.47545787545787499</v>
      </c>
      <c r="F39">
        <v>0.47787545787545699</v>
      </c>
      <c r="G39">
        <f t="shared" si="1"/>
        <v>0.29508378541289892</v>
      </c>
      <c r="H39">
        <f t="shared" si="0"/>
        <v>0.11689470023647226</v>
      </c>
    </row>
    <row r="40" spans="1:8" x14ac:dyDescent="0.25">
      <c r="A40">
        <v>190.00899999999999</v>
      </c>
      <c r="B40">
        <v>0.48996336996336898</v>
      </c>
      <c r="C40">
        <v>0.486739926739926</v>
      </c>
      <c r="D40">
        <v>0.48512820512820498</v>
      </c>
      <c r="E40">
        <v>0.486739926739926</v>
      </c>
      <c r="F40">
        <v>0.49238095238095198</v>
      </c>
      <c r="G40">
        <f t="shared" si="1"/>
        <v>0.29508378541289892</v>
      </c>
      <c r="H40">
        <f t="shared" si="0"/>
        <v>0.12801557935735136</v>
      </c>
    </row>
    <row r="41" spans="1:8" x14ac:dyDescent="0.25">
      <c r="A41">
        <v>194.99600000000001</v>
      </c>
      <c r="B41">
        <v>0.489157509157509</v>
      </c>
      <c r="C41">
        <v>0.49238095238095198</v>
      </c>
      <c r="D41">
        <v>0.48996336996336898</v>
      </c>
      <c r="E41">
        <v>0.48835164835164802</v>
      </c>
      <c r="F41">
        <v>0.49238095238095198</v>
      </c>
      <c r="G41">
        <f t="shared" si="1"/>
        <v>0.29508378541289892</v>
      </c>
      <c r="H41">
        <f t="shared" si="0"/>
        <v>0.13027198961376185</v>
      </c>
    </row>
    <row r="42" spans="1:8" x14ac:dyDescent="0.25">
      <c r="A42">
        <v>200.006</v>
      </c>
      <c r="B42">
        <v>0.48835164835164802</v>
      </c>
      <c r="C42">
        <v>0.48271062271062198</v>
      </c>
      <c r="D42">
        <v>0.48351648351648302</v>
      </c>
      <c r="E42">
        <v>0.486739926739926</v>
      </c>
      <c r="F42">
        <v>0.484322344322344</v>
      </c>
      <c r="G42">
        <f t="shared" si="1"/>
        <v>0.29508378541289892</v>
      </c>
      <c r="H42">
        <f t="shared" si="0"/>
        <v>0.12495330829508035</v>
      </c>
    </row>
    <row r="43" spans="1:8" x14ac:dyDescent="0.25">
      <c r="A43">
        <v>205.01</v>
      </c>
      <c r="B43">
        <v>0.47787545787545699</v>
      </c>
      <c r="C43">
        <v>0.47706959706959701</v>
      </c>
      <c r="D43">
        <v>0.47545787545787499</v>
      </c>
      <c r="E43">
        <v>0.47384615384615297</v>
      </c>
      <c r="F43">
        <v>0.47465201465201401</v>
      </c>
      <c r="G43">
        <f t="shared" si="1"/>
        <v>0.29508378541289892</v>
      </c>
      <c r="H43">
        <f t="shared" si="0"/>
        <v>0.11560532294709493</v>
      </c>
    </row>
    <row r="44" spans="1:8" x14ac:dyDescent="0.25">
      <c r="A44">
        <v>209.982</v>
      </c>
      <c r="B44">
        <v>0.45772893772893702</v>
      </c>
      <c r="C44">
        <v>0.45611721611721601</v>
      </c>
      <c r="D44">
        <v>0.45611721611721601</v>
      </c>
      <c r="E44">
        <v>0.45531135531135503</v>
      </c>
      <c r="F44">
        <v>0.45611721611721601</v>
      </c>
      <c r="G44">
        <f t="shared" si="1"/>
        <v>0.29508378541289892</v>
      </c>
      <c r="H44">
        <f t="shared" si="0"/>
        <v>9.6103491445263825E-2</v>
      </c>
    </row>
    <row r="45" spans="1:8" x14ac:dyDescent="0.25">
      <c r="A45">
        <v>215.00800000000001</v>
      </c>
      <c r="B45">
        <v>0.43919413919413902</v>
      </c>
      <c r="C45">
        <v>0.43516483516483501</v>
      </c>
      <c r="D45">
        <v>0.42871794871794799</v>
      </c>
      <c r="E45">
        <v>0.43355311355311299</v>
      </c>
      <c r="F45">
        <v>0.43516483516483501</v>
      </c>
      <c r="G45">
        <f t="shared" si="1"/>
        <v>0.29508378541289892</v>
      </c>
      <c r="H45">
        <f t="shared" si="0"/>
        <v>7.4184077525849781E-2</v>
      </c>
    </row>
    <row r="46" spans="1:8" x14ac:dyDescent="0.25">
      <c r="A46">
        <v>219.99</v>
      </c>
      <c r="B46">
        <v>0.402930402930402</v>
      </c>
      <c r="C46">
        <v>0.40776556776556699</v>
      </c>
      <c r="D46">
        <v>0.40857142857142797</v>
      </c>
      <c r="E46">
        <v>0.40212454212454202</v>
      </c>
      <c r="F46">
        <v>0.40857142857142797</v>
      </c>
      <c r="G46">
        <f t="shared" si="1"/>
        <v>0.29508378541289892</v>
      </c>
      <c r="H46">
        <f t="shared" si="0"/>
        <v>4.5817777159549225E-2</v>
      </c>
    </row>
    <row r="47" spans="1:8" x14ac:dyDescent="0.25">
      <c r="A47">
        <v>224.989</v>
      </c>
      <c r="B47">
        <v>0.37391941391941302</v>
      </c>
      <c r="C47">
        <v>0.37794871794871698</v>
      </c>
      <c r="D47">
        <v>0.37553113553113499</v>
      </c>
      <c r="E47">
        <v>0.37391941391941302</v>
      </c>
      <c r="F47">
        <v>0.37794871794871698</v>
      </c>
      <c r="G47">
        <f t="shared" si="1"/>
        <v>0.29508378541289892</v>
      </c>
      <c r="H47">
        <f t="shared" si="0"/>
        <v>1.5678583020354867E-2</v>
      </c>
    </row>
    <row r="48" spans="1:8" x14ac:dyDescent="0.25">
      <c r="A48">
        <v>230.01</v>
      </c>
      <c r="B48">
        <v>0.342490842490842</v>
      </c>
      <c r="C48">
        <v>0.33604395604395598</v>
      </c>
      <c r="D48">
        <v>0.34007326007326</v>
      </c>
      <c r="E48">
        <v>0.33846153846153798</v>
      </c>
      <c r="F48">
        <v>0.33684981684981602</v>
      </c>
      <c r="G48">
        <f t="shared" si="1"/>
        <v>0.29508378541289892</v>
      </c>
      <c r="H48">
        <f t="shared" si="0"/>
        <v>2.1391014049241805E-2</v>
      </c>
    </row>
    <row r="49" spans="1:8" x14ac:dyDescent="0.25">
      <c r="A49">
        <v>234.99799999999999</v>
      </c>
      <c r="B49">
        <v>0.30300366300366299</v>
      </c>
      <c r="C49">
        <v>0.30219780219780201</v>
      </c>
      <c r="D49">
        <v>0.298168498168498</v>
      </c>
      <c r="E49">
        <v>0.30300366300366299</v>
      </c>
      <c r="F49">
        <v>0.30380952380952297</v>
      </c>
      <c r="G49">
        <f t="shared" si="1"/>
        <v>0.29508378541289892</v>
      </c>
      <c r="H49">
        <f t="shared" si="0"/>
        <v>5.8138266796494351E-2</v>
      </c>
    </row>
    <row r="50" spans="1:8" x14ac:dyDescent="0.25">
      <c r="A50">
        <v>239.99100000000001</v>
      </c>
      <c r="B50">
        <v>0.26432234432234403</v>
      </c>
      <c r="C50">
        <v>0.26271062271062201</v>
      </c>
      <c r="D50">
        <v>0.26593406593406499</v>
      </c>
      <c r="E50">
        <v>0.26271062271062201</v>
      </c>
      <c r="F50">
        <v>0.269963369963369</v>
      </c>
      <c r="G50">
        <f t="shared" si="1"/>
        <v>0.29508378541289892</v>
      </c>
      <c r="H50">
        <f t="shared" si="0"/>
        <v>9.5046691704919792E-2</v>
      </c>
    </row>
    <row r="51" spans="1:8" x14ac:dyDescent="0.25">
      <c r="A51">
        <v>244.98400000000001</v>
      </c>
      <c r="B51">
        <v>0.23047619047619</v>
      </c>
      <c r="C51">
        <v>0.22886446886446801</v>
      </c>
      <c r="D51">
        <v>0.22967032967032899</v>
      </c>
      <c r="E51">
        <v>0.23047619047619</v>
      </c>
      <c r="F51">
        <v>0.23047619047619</v>
      </c>
      <c r="G51">
        <f t="shared" si="1"/>
        <v>0.29508378541289892</v>
      </c>
      <c r="H51">
        <f t="shared" si="0"/>
        <v>0.13018222284045078</v>
      </c>
    </row>
    <row r="52" spans="1:8" x14ac:dyDescent="0.25">
      <c r="A52">
        <v>249.988</v>
      </c>
      <c r="B52">
        <v>0.196630036630036</v>
      </c>
      <c r="C52">
        <v>0.19501831501831399</v>
      </c>
      <c r="D52">
        <v>0.19743589743589701</v>
      </c>
      <c r="E52">
        <v>0.195824175824175</v>
      </c>
      <c r="F52">
        <v>0.20065934065933999</v>
      </c>
      <c r="G52">
        <f t="shared" si="1"/>
        <v>0.29508378541289892</v>
      </c>
      <c r="H52">
        <f t="shared" si="0"/>
        <v>0.16306134371957182</v>
      </c>
    </row>
    <row r="53" spans="1:8" x14ac:dyDescent="0.25">
      <c r="A53">
        <v>254.99299999999999</v>
      </c>
      <c r="B53">
        <v>0.17084249084249001</v>
      </c>
      <c r="C53">
        <v>0.16439560439560399</v>
      </c>
      <c r="D53">
        <v>0.165201465201465</v>
      </c>
      <c r="E53">
        <v>0.165201465201465</v>
      </c>
      <c r="F53">
        <v>0.16600732600732501</v>
      </c>
      <c r="G53">
        <f t="shared" si="1"/>
        <v>0.29508378541289892</v>
      </c>
      <c r="H53">
        <f t="shared" si="0"/>
        <v>0.19384522650345437</v>
      </c>
    </row>
    <row r="54" spans="1:8" x14ac:dyDescent="0.25">
      <c r="A54">
        <v>260.00799999999998</v>
      </c>
      <c r="B54">
        <v>0.13457875457875401</v>
      </c>
      <c r="C54">
        <v>0.13780219780219699</v>
      </c>
      <c r="D54">
        <v>0.133772893772893</v>
      </c>
      <c r="E54">
        <v>0.13941391941391901</v>
      </c>
      <c r="F54">
        <v>0.13780219780219699</v>
      </c>
      <c r="G54">
        <f t="shared" si="1"/>
        <v>0.29508378541289892</v>
      </c>
      <c r="H54">
        <f t="shared" si="0"/>
        <v>0.22350090415913221</v>
      </c>
    </row>
    <row r="55" spans="1:8" x14ac:dyDescent="0.25">
      <c r="A55">
        <v>265.00700000000001</v>
      </c>
      <c r="B55">
        <v>0.108791208791208</v>
      </c>
      <c r="C55">
        <v>0.109597069597069</v>
      </c>
      <c r="D55">
        <v>0.113626373626373</v>
      </c>
      <c r="E55">
        <v>0.111208791208791</v>
      </c>
      <c r="F55">
        <v>0.113626373626373</v>
      </c>
      <c r="G55">
        <f t="shared" si="1"/>
        <v>0.29508378541289892</v>
      </c>
      <c r="H55">
        <f t="shared" si="0"/>
        <v>0.2488049334631614</v>
      </c>
    </row>
    <row r="56" spans="1:8" x14ac:dyDescent="0.25">
      <c r="A56">
        <v>270.005</v>
      </c>
      <c r="B56">
        <v>9.2673992673992595E-2</v>
      </c>
      <c r="C56">
        <v>9.1062271062270994E-2</v>
      </c>
      <c r="D56">
        <v>9.2673992673992595E-2</v>
      </c>
      <c r="E56">
        <v>9.8315018315018293E-2</v>
      </c>
      <c r="F56">
        <v>9.4285714285714195E-2</v>
      </c>
      <c r="G56">
        <f t="shared" si="1"/>
        <v>0.29508378541289892</v>
      </c>
      <c r="H56">
        <f t="shared" si="0"/>
        <v>0.26637269903092647</v>
      </c>
    </row>
    <row r="57" spans="1:8" x14ac:dyDescent="0.25">
      <c r="A57">
        <v>275.01</v>
      </c>
      <c r="B57">
        <v>8.2197802197802095E-2</v>
      </c>
      <c r="C57">
        <v>7.8974358974358894E-2</v>
      </c>
      <c r="D57">
        <v>8.3809523809523806E-2</v>
      </c>
      <c r="E57">
        <v>7.5750915750915707E-2</v>
      </c>
      <c r="F57">
        <v>7.9780219780219694E-2</v>
      </c>
      <c r="G57">
        <f t="shared" si="1"/>
        <v>0.29508378541289892</v>
      </c>
      <c r="H57">
        <f t="shared" si="0"/>
        <v>0.28007233273056015</v>
      </c>
    </row>
    <row r="58" spans="1:8" x14ac:dyDescent="0.25">
      <c r="A58">
        <v>279.99799999999999</v>
      </c>
      <c r="B58">
        <v>6.9304029304029305E-2</v>
      </c>
      <c r="C58">
        <v>6.8498168498168505E-2</v>
      </c>
      <c r="D58">
        <v>6.7692307692307593E-2</v>
      </c>
      <c r="E58">
        <v>6.5274725274725207E-2</v>
      </c>
      <c r="F58">
        <v>6.7692307692307593E-2</v>
      </c>
      <c r="G58">
        <f t="shared" si="1"/>
        <v>0.29508378541289892</v>
      </c>
      <c r="H58">
        <f t="shared" si="0"/>
        <v>0.29248258914081654</v>
      </c>
    </row>
    <row r="59" spans="1:8" x14ac:dyDescent="0.25">
      <c r="A59">
        <v>285.01299999999998</v>
      </c>
      <c r="B59">
        <v>6.3663003663003606E-2</v>
      </c>
      <c r="C59">
        <v>6.4468864468864406E-2</v>
      </c>
      <c r="D59">
        <v>6.5274725274725207E-2</v>
      </c>
      <c r="E59">
        <v>5.8021978021977998E-2</v>
      </c>
      <c r="F59">
        <v>6.5274725274725207E-2</v>
      </c>
      <c r="G59">
        <f t="shared" si="1"/>
        <v>0.29508378541289892</v>
      </c>
      <c r="H59">
        <f t="shared" si="0"/>
        <v>0.2968342374924649</v>
      </c>
    </row>
    <row r="60" spans="1:8" x14ac:dyDescent="0.25">
      <c r="A60">
        <v>289.97899999999998</v>
      </c>
      <c r="B60">
        <v>6.7692307692307593E-2</v>
      </c>
      <c r="C60">
        <v>6.8498168498168505E-2</v>
      </c>
      <c r="D60">
        <v>6.4468864468864406E-2</v>
      </c>
      <c r="E60">
        <v>6.9304029304029305E-2</v>
      </c>
      <c r="F60">
        <v>6.6080586080586007E-2</v>
      </c>
      <c r="G60">
        <f t="shared" si="1"/>
        <v>0.29508378541289892</v>
      </c>
      <c r="H60">
        <f t="shared" si="0"/>
        <v>0.29296610562433306</v>
      </c>
    </row>
    <row r="61" spans="1:8" x14ac:dyDescent="0.25">
      <c r="A61">
        <v>294.99400000000003</v>
      </c>
      <c r="B61">
        <v>8.0586080586080494E-2</v>
      </c>
      <c r="C61">
        <v>7.4139194139194106E-2</v>
      </c>
      <c r="D61">
        <v>8.1391941391941294E-2</v>
      </c>
      <c r="E61">
        <v>7.9780219780219694E-2</v>
      </c>
      <c r="F61">
        <v>7.6556776556776507E-2</v>
      </c>
      <c r="G61">
        <f t="shared" si="1"/>
        <v>0.29508378541289892</v>
      </c>
      <c r="H61">
        <f t="shared" si="0"/>
        <v>0.28168405434228178</v>
      </c>
    </row>
    <row r="62" spans="1:8" x14ac:dyDescent="0.25">
      <c r="A62">
        <v>299.99299999999999</v>
      </c>
      <c r="B62">
        <v>9.3479853479853395E-2</v>
      </c>
      <c r="C62">
        <v>9.1868131868131794E-2</v>
      </c>
      <c r="D62">
        <v>8.4615384615384606E-2</v>
      </c>
      <c r="E62">
        <v>9.1062271062270994E-2</v>
      </c>
      <c r="F62">
        <v>9.0256410256410194E-2</v>
      </c>
      <c r="G62">
        <f t="shared" si="1"/>
        <v>0.29508378541289892</v>
      </c>
      <c r="H62">
        <f t="shared" si="0"/>
        <v>0.26991848657671402</v>
      </c>
    </row>
    <row r="63" spans="1:8" x14ac:dyDescent="0.25">
      <c r="A63">
        <v>304.98599999999999</v>
      </c>
      <c r="B63">
        <v>0.113626373626373</v>
      </c>
      <c r="C63">
        <v>0.11040293040293001</v>
      </c>
      <c r="D63">
        <v>0.116043956043956</v>
      </c>
      <c r="E63">
        <v>0.115238095238095</v>
      </c>
      <c r="F63">
        <v>0.116043956043956</v>
      </c>
      <c r="G63">
        <f t="shared" si="1"/>
        <v>0.29508378541289892</v>
      </c>
      <c r="H63">
        <f t="shared" si="0"/>
        <v>0.24590383456206216</v>
      </c>
    </row>
    <row r="64" spans="1:8" x14ac:dyDescent="0.25">
      <c r="A64">
        <v>310.00099999999998</v>
      </c>
      <c r="B64">
        <v>0.13699633699633701</v>
      </c>
      <c r="C64">
        <v>0.13538461538461499</v>
      </c>
      <c r="D64">
        <v>0.132967032967032</v>
      </c>
      <c r="E64">
        <v>0.13538461538461499</v>
      </c>
      <c r="F64">
        <v>0.141025641025641</v>
      </c>
      <c r="G64">
        <f t="shared" si="1"/>
        <v>0.29508378541289892</v>
      </c>
      <c r="H64">
        <f t="shared" si="0"/>
        <v>0.22382324848147622</v>
      </c>
    </row>
    <row r="65" spans="1:11" x14ac:dyDescent="0.25">
      <c r="A65">
        <v>315.01100000000002</v>
      </c>
      <c r="B65">
        <v>0.167619047619047</v>
      </c>
      <c r="C65">
        <v>0.16278388278388201</v>
      </c>
      <c r="D65">
        <v>0.16842490842490801</v>
      </c>
      <c r="E65">
        <v>0.17003663003663</v>
      </c>
      <c r="F65">
        <v>0.17084249084249001</v>
      </c>
      <c r="G65">
        <f t="shared" si="1"/>
        <v>0.29508378541289892</v>
      </c>
      <c r="H65">
        <f t="shared" si="0"/>
        <v>0.1922335048917328</v>
      </c>
    </row>
    <row r="66" spans="1:11" x14ac:dyDescent="0.25">
      <c r="A66">
        <v>320.00400000000002</v>
      </c>
      <c r="B66">
        <v>0.20307692307692299</v>
      </c>
      <c r="C66">
        <v>0.203882783882783</v>
      </c>
      <c r="D66">
        <v>0.20307692307692299</v>
      </c>
      <c r="E66">
        <v>0.199047619047619</v>
      </c>
      <c r="F66">
        <v>0.201465201465201</v>
      </c>
      <c r="G66">
        <f t="shared" si="1"/>
        <v>0.29508378541289892</v>
      </c>
      <c r="H66">
        <f t="shared" si="0"/>
        <v>0.15806500672323437</v>
      </c>
    </row>
    <row r="67" spans="1:11" x14ac:dyDescent="0.25">
      <c r="A67">
        <v>325.00900000000001</v>
      </c>
      <c r="B67">
        <v>0.22967032967032899</v>
      </c>
      <c r="C67">
        <v>0.237728937728937</v>
      </c>
      <c r="D67">
        <v>0.24014652014651999</v>
      </c>
      <c r="E67">
        <v>0.23934065934065901</v>
      </c>
      <c r="F67">
        <v>0.24014652014651999</v>
      </c>
      <c r="G67">
        <f t="shared" si="1"/>
        <v>0.29508378541289892</v>
      </c>
      <c r="H67">
        <f t="shared" ref="H67:H80" si="2">ABS(AVERAGE(B67:F67)-G67-$J$1)</f>
        <v>0.12276830342653115</v>
      </c>
    </row>
    <row r="68" spans="1:11" x14ac:dyDescent="0.25">
      <c r="A68">
        <v>330.00700000000001</v>
      </c>
      <c r="B68">
        <v>0.27399267399267402</v>
      </c>
      <c r="C68">
        <v>0.27560439560439498</v>
      </c>
      <c r="D68">
        <v>0.274798534798534</v>
      </c>
      <c r="E68">
        <v>0.274798534798534</v>
      </c>
      <c r="F68">
        <v>0.27560439560439498</v>
      </c>
      <c r="G68">
        <f t="shared" ref="G68:G80" si="3">$G$2</f>
        <v>0.29508378541289892</v>
      </c>
      <c r="H68">
        <f t="shared" si="2"/>
        <v>8.5215189873417793E-2</v>
      </c>
    </row>
    <row r="69" spans="1:11" x14ac:dyDescent="0.25">
      <c r="A69">
        <v>334.995</v>
      </c>
      <c r="B69">
        <v>0.31509157509157498</v>
      </c>
      <c r="C69">
        <v>0.31347985347985302</v>
      </c>
      <c r="D69">
        <v>0.31267399267399199</v>
      </c>
      <c r="E69">
        <v>0.311868131868131</v>
      </c>
      <c r="F69">
        <v>0.30945054945054901</v>
      </c>
      <c r="G69">
        <f t="shared" si="3"/>
        <v>0.29508378541289892</v>
      </c>
      <c r="H69">
        <f t="shared" si="2"/>
        <v>4.7662076320304211E-2</v>
      </c>
    </row>
    <row r="70" spans="1:11" x14ac:dyDescent="0.25">
      <c r="A70">
        <v>339.99400000000003</v>
      </c>
      <c r="B70">
        <v>0.34652014652014601</v>
      </c>
      <c r="C70">
        <v>0.34410256410256401</v>
      </c>
      <c r="D70">
        <v>0.342490842490842</v>
      </c>
      <c r="E70">
        <v>0.34732600732600699</v>
      </c>
      <c r="F70">
        <v>0.35054945054945003</v>
      </c>
      <c r="G70">
        <f t="shared" si="3"/>
        <v>0.29508378541289892</v>
      </c>
      <c r="H70">
        <f t="shared" si="2"/>
        <v>1.3977094635322415E-2</v>
      </c>
    </row>
    <row r="71" spans="1:11" x14ac:dyDescent="0.25">
      <c r="A71">
        <v>344.98200000000003</v>
      </c>
      <c r="B71">
        <v>0.38358974358974302</v>
      </c>
      <c r="C71">
        <v>0.37794871794871698</v>
      </c>
      <c r="D71">
        <v>0.379560439560439</v>
      </c>
      <c r="E71">
        <v>0.38036630036629998</v>
      </c>
      <c r="F71">
        <v>0.38117216117216102</v>
      </c>
      <c r="G71">
        <f t="shared" si="3"/>
        <v>0.29508378541289892</v>
      </c>
      <c r="H71">
        <f t="shared" si="2"/>
        <v>2.0352575694347799E-2</v>
      </c>
    </row>
    <row r="72" spans="1:11" x14ac:dyDescent="0.25">
      <c r="A72">
        <v>350.00200000000001</v>
      </c>
      <c r="B72">
        <v>0.41340659340659303</v>
      </c>
      <c r="C72">
        <v>0.405347985347985</v>
      </c>
      <c r="D72">
        <v>0.40373626373626298</v>
      </c>
      <c r="E72">
        <v>0.40695970695970601</v>
      </c>
      <c r="F72">
        <v>0.41018315018314999</v>
      </c>
      <c r="G72">
        <f t="shared" si="3"/>
        <v>0.29508378541289892</v>
      </c>
      <c r="H72">
        <f t="shared" si="2"/>
        <v>4.7751843093615201E-2</v>
      </c>
    </row>
    <row r="73" spans="1:11" x14ac:dyDescent="0.25">
      <c r="A73">
        <v>355.00099999999998</v>
      </c>
      <c r="B73">
        <v>0.43435897435897403</v>
      </c>
      <c r="C73">
        <v>0.43677655677655602</v>
      </c>
      <c r="D73">
        <v>0.43838827838827799</v>
      </c>
      <c r="E73">
        <v>0.43919413919413902</v>
      </c>
      <c r="F73">
        <v>0.43355311355311299</v>
      </c>
      <c r="G73">
        <f t="shared" si="3"/>
        <v>0.29508378541289892</v>
      </c>
      <c r="H73">
        <f t="shared" si="2"/>
        <v>7.627931562108782E-2</v>
      </c>
    </row>
    <row r="74" spans="1:11" x14ac:dyDescent="0.25">
      <c r="A74">
        <f>K74+360</f>
        <v>360.01100000000002</v>
      </c>
      <c r="B74">
        <v>0.46256410256410202</v>
      </c>
      <c r="C74">
        <v>0.45692307692307599</v>
      </c>
      <c r="D74">
        <v>0.45934065934065899</v>
      </c>
      <c r="E74">
        <v>0.45531135531135503</v>
      </c>
      <c r="F74">
        <v>0.46014652014652002</v>
      </c>
      <c r="G74">
        <f t="shared" si="3"/>
        <v>0.29508378541289892</v>
      </c>
      <c r="H74">
        <f t="shared" si="2"/>
        <v>9.8682246024018164E-2</v>
      </c>
      <c r="K74">
        <v>1.0999999999999999E-2</v>
      </c>
    </row>
    <row r="75" spans="1:11" x14ac:dyDescent="0.25">
      <c r="A75">
        <f>K75+360</f>
        <v>365.00400000000002</v>
      </c>
      <c r="B75">
        <v>0.47465201465201401</v>
      </c>
      <c r="C75">
        <v>0.48029304029303999</v>
      </c>
      <c r="D75">
        <v>0.47384615384615297</v>
      </c>
      <c r="E75">
        <v>0.48029304029303999</v>
      </c>
      <c r="F75">
        <v>0.47304029304029299</v>
      </c>
      <c r="G75">
        <f t="shared" si="3"/>
        <v>0.29508378541289892</v>
      </c>
      <c r="H75">
        <f t="shared" si="2"/>
        <v>0.11625001159178384</v>
      </c>
      <c r="K75">
        <v>5.0039999999999996</v>
      </c>
    </row>
    <row r="76" spans="1:11" x14ac:dyDescent="0.25">
      <c r="A76">
        <f>K76+360</f>
        <v>369.99799999999999</v>
      </c>
      <c r="B76">
        <v>0.48754578754578698</v>
      </c>
      <c r="C76">
        <v>0.48271062271062198</v>
      </c>
      <c r="D76">
        <v>0.481904761904761</v>
      </c>
      <c r="E76">
        <v>0.489157509157509</v>
      </c>
      <c r="F76">
        <v>0.48996336996336898</v>
      </c>
      <c r="G76">
        <f t="shared" si="3"/>
        <v>0.29508378541289892</v>
      </c>
      <c r="H76">
        <f t="shared" si="2"/>
        <v>0.12608151342328544</v>
      </c>
      <c r="K76">
        <v>9.9979999999999993</v>
      </c>
    </row>
    <row r="77" spans="1:11" x14ac:dyDescent="0.25">
      <c r="A77">
        <f>K77+360</f>
        <v>375.00700000000001</v>
      </c>
      <c r="B77">
        <v>0.486739926739926</v>
      </c>
      <c r="C77">
        <v>0.48835164835164802</v>
      </c>
      <c r="D77">
        <v>0.486739926739926</v>
      </c>
      <c r="E77">
        <v>0.486739926739926</v>
      </c>
      <c r="F77">
        <v>0.48593406593406502</v>
      </c>
      <c r="G77">
        <f t="shared" si="3"/>
        <v>0.29508378541289892</v>
      </c>
      <c r="H77">
        <f t="shared" si="2"/>
        <v>0.12672620206797397</v>
      </c>
      <c r="K77">
        <v>15.007</v>
      </c>
    </row>
    <row r="78" spans="1:11" x14ac:dyDescent="0.25">
      <c r="A78">
        <f>K78+360</f>
        <v>380.00599999999997</v>
      </c>
      <c r="B78">
        <v>0.48593406593406502</v>
      </c>
      <c r="C78">
        <v>0.48996336996336898</v>
      </c>
      <c r="D78">
        <v>0.48835164835164802</v>
      </c>
      <c r="E78">
        <v>0.48754578754578698</v>
      </c>
      <c r="F78">
        <v>0.49076923076923001</v>
      </c>
      <c r="G78">
        <f t="shared" si="3"/>
        <v>0.29508378541289892</v>
      </c>
      <c r="H78">
        <f t="shared" si="2"/>
        <v>0.1283379236796956</v>
      </c>
      <c r="K78">
        <v>20.006</v>
      </c>
    </row>
    <row r="79" spans="1:11" x14ac:dyDescent="0.25">
      <c r="A79">
        <f>K79+360</f>
        <v>385.005</v>
      </c>
      <c r="B79">
        <v>0.47384615384615297</v>
      </c>
      <c r="C79">
        <v>0.47062271062270999</v>
      </c>
      <c r="D79">
        <v>0.48029304029303999</v>
      </c>
      <c r="E79">
        <v>0.47706959706959701</v>
      </c>
      <c r="F79">
        <v>0.47384615384615297</v>
      </c>
      <c r="G79">
        <f t="shared" si="3"/>
        <v>0.29508378541289892</v>
      </c>
      <c r="H79">
        <f t="shared" si="2"/>
        <v>0.11496063430240645</v>
      </c>
      <c r="K79">
        <v>25.004999999999999</v>
      </c>
    </row>
    <row r="80" spans="1:11" x14ac:dyDescent="0.25">
      <c r="A80">
        <f>K80+360</f>
        <v>389.99799999999999</v>
      </c>
      <c r="B80">
        <v>0.46256410256410202</v>
      </c>
      <c r="C80">
        <v>0.46095238095238</v>
      </c>
      <c r="D80">
        <v>0.46417582417582398</v>
      </c>
      <c r="E80">
        <v>0.46417582417582398</v>
      </c>
      <c r="F80">
        <v>0.46095238095238</v>
      </c>
      <c r="G80">
        <f t="shared" si="3"/>
        <v>0.29508378541289892</v>
      </c>
      <c r="H80">
        <f t="shared" si="2"/>
        <v>0.10238920573097778</v>
      </c>
      <c r="K80">
        <v>29.998000000000001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"/>
  <sheetViews>
    <sheetView tabSelected="1" topLeftCell="D1" workbookViewId="0">
      <selection activeCell="P2" sqref="P2:P8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J1">
        <v>6.5091111420225264E-2</v>
      </c>
      <c r="M1" t="s">
        <v>2</v>
      </c>
    </row>
    <row r="2" spans="1:16" x14ac:dyDescent="0.25">
      <c r="A2">
        <v>0</v>
      </c>
      <c r="B2">
        <v>0.47545787545787499</v>
      </c>
      <c r="C2">
        <v>0.47384615384615297</v>
      </c>
      <c r="D2">
        <v>0.47142857142857097</v>
      </c>
      <c r="E2">
        <v>0.46417582417582398</v>
      </c>
      <c r="F2">
        <v>0.46901098901098898</v>
      </c>
      <c r="H2">
        <f>B2-$J$1</f>
        <v>0.41036676403764971</v>
      </c>
      <c r="I2">
        <f t="shared" ref="I2:J17" si="0">C2-$J$1</f>
        <v>0.40875504242592769</v>
      </c>
      <c r="J2">
        <f t="shared" si="0"/>
        <v>0.4063374600083457</v>
      </c>
      <c r="K2">
        <f>E2-$J$1</f>
        <v>0.3990847127555987</v>
      </c>
      <c r="L2">
        <f t="shared" ref="L2:L65" si="1">F2-$J$1</f>
        <v>0.4039198775907637</v>
      </c>
      <c r="M2">
        <f>AVERAGE(H2:L2)</f>
        <v>0.40569277136365711</v>
      </c>
      <c r="N2">
        <f>(MAX(M2:M80)+MIN(M2:M80))/2</f>
        <v>0.21800778967867548</v>
      </c>
      <c r="O2">
        <f>ABS(M2-N2)</f>
        <v>0.18768498168498163</v>
      </c>
      <c r="P2">
        <f>ABS(M2/N2/2-0.5)</f>
        <v>0.43045476026708263</v>
      </c>
    </row>
    <row r="3" spans="1:16" x14ac:dyDescent="0.25">
      <c r="A3">
        <v>4.9930000000000003</v>
      </c>
      <c r="B3">
        <v>0.47465201465201401</v>
      </c>
      <c r="C3">
        <v>0.49076923076923001</v>
      </c>
      <c r="D3">
        <v>0.489157509157509</v>
      </c>
      <c r="E3">
        <v>0.49157509157509099</v>
      </c>
      <c r="F3">
        <v>0.49238095238095198</v>
      </c>
      <c r="H3">
        <f>B3-$J$1</f>
        <v>0.40956090323178873</v>
      </c>
      <c r="I3">
        <f t="shared" si="0"/>
        <v>0.42567811934900474</v>
      </c>
      <c r="J3">
        <f t="shared" si="0"/>
        <v>0.42406639773728372</v>
      </c>
      <c r="K3">
        <f t="shared" ref="K3:L66" si="2">E3-$J$1</f>
        <v>0.42648398015486572</v>
      </c>
      <c r="L3">
        <f t="shared" si="1"/>
        <v>0.4272898409607267</v>
      </c>
      <c r="M3">
        <f t="shared" ref="M3:M66" si="3">AVERAGE(H3:L3)</f>
        <v>0.42261584828673388</v>
      </c>
      <c r="N3">
        <f>$N$2</f>
        <v>0.21800778967867548</v>
      </c>
      <c r="O3">
        <f t="shared" ref="O3:O66" si="4">ABS(M3-N3)</f>
        <v>0.20460805860805839</v>
      </c>
      <c r="P3">
        <f t="shared" ref="P3:P66" si="5">ABS(M3/N3/2-0.5)</f>
        <v>0.46926776999489983</v>
      </c>
    </row>
    <row r="4" spans="1:16" x14ac:dyDescent="0.25">
      <c r="A4">
        <v>9.9979999999999993</v>
      </c>
      <c r="B4">
        <v>0.49963369963369902</v>
      </c>
      <c r="C4">
        <v>0.502857142857142</v>
      </c>
      <c r="D4">
        <v>0.502857142857142</v>
      </c>
      <c r="E4">
        <v>0.50446886446886396</v>
      </c>
      <c r="F4">
        <v>0.50446886446886396</v>
      </c>
      <c r="H4">
        <f>B4-$J$1</f>
        <v>0.43454258821347375</v>
      </c>
      <c r="I4">
        <f t="shared" si="0"/>
        <v>0.43776603143691672</v>
      </c>
      <c r="J4">
        <f t="shared" si="0"/>
        <v>0.43776603143691672</v>
      </c>
      <c r="K4">
        <f t="shared" si="2"/>
        <v>0.43937775304863869</v>
      </c>
      <c r="L4">
        <f t="shared" si="1"/>
        <v>0.43937775304863869</v>
      </c>
      <c r="M4">
        <f t="shared" si="3"/>
        <v>0.43776603143691695</v>
      </c>
      <c r="N4">
        <f t="shared" ref="N4:N67" si="6">$N$2</f>
        <v>0.21800778967867548</v>
      </c>
      <c r="O4">
        <f t="shared" si="4"/>
        <v>0.21975824175824146</v>
      </c>
      <c r="P4">
        <f t="shared" si="5"/>
        <v>0.50401465489408892</v>
      </c>
    </row>
    <row r="5" spans="1:16" x14ac:dyDescent="0.25">
      <c r="A5">
        <v>14.996</v>
      </c>
      <c r="B5">
        <v>0.502857142857142</v>
      </c>
      <c r="C5">
        <v>0.49721611721611703</v>
      </c>
      <c r="D5">
        <v>0.50446886446886396</v>
      </c>
      <c r="E5">
        <v>0.50043956043955995</v>
      </c>
      <c r="F5">
        <v>0.49641025641025599</v>
      </c>
      <c r="H5">
        <f>B5-$J$1</f>
        <v>0.43776603143691672</v>
      </c>
      <c r="I5">
        <f t="shared" si="0"/>
        <v>0.43212500579589175</v>
      </c>
      <c r="J5">
        <f t="shared" si="0"/>
        <v>0.43937775304863869</v>
      </c>
      <c r="K5">
        <f t="shared" si="2"/>
        <v>0.43534844901933467</v>
      </c>
      <c r="L5">
        <f t="shared" si="1"/>
        <v>0.43131914499003071</v>
      </c>
      <c r="M5">
        <f t="shared" si="3"/>
        <v>0.4351872768581625</v>
      </c>
      <c r="N5">
        <f t="shared" si="6"/>
        <v>0.21800778967867548</v>
      </c>
      <c r="O5">
        <f t="shared" si="4"/>
        <v>0.21717948717948701</v>
      </c>
      <c r="P5">
        <f t="shared" si="5"/>
        <v>0.49810029150699309</v>
      </c>
    </row>
    <row r="6" spans="1:16" x14ac:dyDescent="0.25">
      <c r="A6">
        <v>20.012</v>
      </c>
      <c r="B6">
        <v>0.49641025641025599</v>
      </c>
      <c r="C6">
        <v>0.49479853479853397</v>
      </c>
      <c r="D6">
        <v>0.486739926739926</v>
      </c>
      <c r="E6">
        <v>0.50124542124542104</v>
      </c>
      <c r="F6">
        <v>0.49882783882783799</v>
      </c>
      <c r="H6">
        <f>B6-$J$1</f>
        <v>0.43131914499003071</v>
      </c>
      <c r="I6">
        <f t="shared" si="0"/>
        <v>0.42970742337830869</v>
      </c>
      <c r="J6">
        <f t="shared" si="0"/>
        <v>0.42164881531970072</v>
      </c>
      <c r="K6">
        <f t="shared" si="2"/>
        <v>0.43615430982519576</v>
      </c>
      <c r="L6">
        <f t="shared" si="1"/>
        <v>0.43373672740761271</v>
      </c>
      <c r="M6">
        <f t="shared" si="3"/>
        <v>0.43051328418416973</v>
      </c>
      <c r="N6">
        <f t="shared" si="6"/>
        <v>0.21800778967867548</v>
      </c>
      <c r="O6">
        <f t="shared" si="4"/>
        <v>0.21250549450549425</v>
      </c>
      <c r="P6">
        <f t="shared" si="5"/>
        <v>0.48738050786788134</v>
      </c>
    </row>
    <row r="7" spans="1:16" x14ac:dyDescent="0.25">
      <c r="A7">
        <v>25.01</v>
      </c>
      <c r="B7">
        <v>0.48512820512820498</v>
      </c>
      <c r="C7">
        <v>0.48754578754578698</v>
      </c>
      <c r="D7">
        <v>0.481904761904761</v>
      </c>
      <c r="E7">
        <v>0.49641025641025599</v>
      </c>
      <c r="F7">
        <v>0.49157509157509099</v>
      </c>
      <c r="H7">
        <f>B7-$J$1</f>
        <v>0.4200370937079797</v>
      </c>
      <c r="I7">
        <f t="shared" si="0"/>
        <v>0.4224546761255617</v>
      </c>
      <c r="J7">
        <f t="shared" si="0"/>
        <v>0.41681365048453572</v>
      </c>
      <c r="K7">
        <f t="shared" si="2"/>
        <v>0.43131914499003071</v>
      </c>
      <c r="L7">
        <f t="shared" si="1"/>
        <v>0.42648398015486572</v>
      </c>
      <c r="M7">
        <f t="shared" si="3"/>
        <v>0.42342170909259469</v>
      </c>
      <c r="N7">
        <f t="shared" si="6"/>
        <v>0.21800778967867548</v>
      </c>
      <c r="O7">
        <f t="shared" si="4"/>
        <v>0.2054139194139192</v>
      </c>
      <c r="P7">
        <f t="shared" si="5"/>
        <v>0.47111600855336744</v>
      </c>
    </row>
    <row r="8" spans="1:16" x14ac:dyDescent="0.25">
      <c r="A8">
        <v>30.009</v>
      </c>
      <c r="B8">
        <v>0.47706959706959701</v>
      </c>
      <c r="C8">
        <v>0.47626373626373603</v>
      </c>
      <c r="D8">
        <v>0.47626373626373603</v>
      </c>
      <c r="E8">
        <v>0.47223443223443201</v>
      </c>
      <c r="F8">
        <v>0.46417582417582398</v>
      </c>
      <c r="H8">
        <f>B8-$J$1</f>
        <v>0.41197848564937173</v>
      </c>
      <c r="I8">
        <f t="shared" si="0"/>
        <v>0.41117262484351075</v>
      </c>
      <c r="J8">
        <f t="shared" si="0"/>
        <v>0.41117262484351075</v>
      </c>
      <c r="K8">
        <f t="shared" si="2"/>
        <v>0.40714332081420673</v>
      </c>
      <c r="L8">
        <f t="shared" si="1"/>
        <v>0.3990847127555987</v>
      </c>
      <c r="M8">
        <f t="shared" si="3"/>
        <v>0.40811035378123972</v>
      </c>
      <c r="N8">
        <f t="shared" si="6"/>
        <v>0.21800778967867548</v>
      </c>
      <c r="O8">
        <f t="shared" si="4"/>
        <v>0.19010256410256424</v>
      </c>
      <c r="P8">
        <f t="shared" si="5"/>
        <v>0.43599947594248556</v>
      </c>
    </row>
    <row r="9" spans="1:16" x14ac:dyDescent="0.25">
      <c r="A9">
        <v>35.002000000000002</v>
      </c>
      <c r="B9">
        <v>0.44644688644688602</v>
      </c>
      <c r="C9">
        <v>0.44644688644688602</v>
      </c>
      <c r="D9">
        <v>0.43194139194139097</v>
      </c>
      <c r="E9">
        <v>0.43032967032967001</v>
      </c>
      <c r="F9">
        <v>0.44564102564102498</v>
      </c>
      <c r="H9">
        <f>B9-$J$1</f>
        <v>0.38135577502666074</v>
      </c>
      <c r="I9">
        <f t="shared" si="0"/>
        <v>0.38135577502666074</v>
      </c>
      <c r="J9">
        <f t="shared" si="0"/>
        <v>0.36685028052116569</v>
      </c>
      <c r="K9">
        <f t="shared" si="2"/>
        <v>0.36523855890944473</v>
      </c>
      <c r="L9">
        <f t="shared" si="1"/>
        <v>0.3805499142207997</v>
      </c>
      <c r="M9">
        <f t="shared" si="3"/>
        <v>0.37507006074094634</v>
      </c>
      <c r="N9">
        <f t="shared" si="6"/>
        <v>0.21800778967867548</v>
      </c>
      <c r="O9">
        <f t="shared" si="4"/>
        <v>0.15706227106227086</v>
      </c>
      <c r="P9">
        <f t="shared" si="5"/>
        <v>0.36022169504531687</v>
      </c>
    </row>
    <row r="10" spans="1:16" x14ac:dyDescent="0.25">
      <c r="A10">
        <v>40.006999999999998</v>
      </c>
      <c r="B10">
        <v>0.42227106227106198</v>
      </c>
      <c r="C10">
        <v>0.42065934065934002</v>
      </c>
      <c r="D10">
        <v>0.419047619047619</v>
      </c>
      <c r="E10">
        <v>0.419047619047619</v>
      </c>
      <c r="F10">
        <v>0.419047619047619</v>
      </c>
      <c r="H10">
        <f>B10-$J$1</f>
        <v>0.3571799508508367</v>
      </c>
      <c r="I10">
        <f t="shared" si="0"/>
        <v>0.35556822923911474</v>
      </c>
      <c r="J10">
        <f t="shared" si="0"/>
        <v>0.35395650762739372</v>
      </c>
      <c r="K10">
        <f t="shared" si="2"/>
        <v>0.35395650762739372</v>
      </c>
      <c r="L10">
        <f t="shared" si="1"/>
        <v>0.35395650762739372</v>
      </c>
      <c r="M10">
        <f t="shared" si="3"/>
        <v>0.35492354059442655</v>
      </c>
      <c r="N10">
        <f t="shared" si="6"/>
        <v>0.21800778967867548</v>
      </c>
      <c r="O10">
        <f t="shared" si="4"/>
        <v>0.13691575091575106</v>
      </c>
      <c r="P10">
        <f t="shared" si="5"/>
        <v>0.31401573108363001</v>
      </c>
    </row>
    <row r="11" spans="1:16" x14ac:dyDescent="0.25">
      <c r="A11">
        <v>44.994999999999997</v>
      </c>
      <c r="B11">
        <v>0.38358974358974302</v>
      </c>
      <c r="C11">
        <v>0.38842490842490801</v>
      </c>
      <c r="D11">
        <v>0.38520146520146498</v>
      </c>
      <c r="E11">
        <v>0.38520146520146498</v>
      </c>
      <c r="F11">
        <v>0.384395604395604</v>
      </c>
      <c r="H11">
        <f>B11-$J$1</f>
        <v>0.31849863216951774</v>
      </c>
      <c r="I11">
        <f t="shared" si="0"/>
        <v>0.32333379700468273</v>
      </c>
      <c r="J11">
        <f t="shared" si="0"/>
        <v>0.3201103537812397</v>
      </c>
      <c r="K11">
        <f t="shared" si="2"/>
        <v>0.3201103537812397</v>
      </c>
      <c r="L11">
        <f t="shared" si="1"/>
        <v>0.31930449297537872</v>
      </c>
      <c r="M11">
        <f t="shared" si="3"/>
        <v>0.32027152594241171</v>
      </c>
      <c r="N11">
        <f t="shared" si="6"/>
        <v>0.21800778967867548</v>
      </c>
      <c r="O11">
        <f t="shared" si="4"/>
        <v>0.10226373626373622</v>
      </c>
      <c r="P11">
        <f t="shared" si="5"/>
        <v>0.23454147306952666</v>
      </c>
    </row>
    <row r="12" spans="1:16" x14ac:dyDescent="0.25">
      <c r="A12">
        <v>49.993000000000002</v>
      </c>
      <c r="B12">
        <v>0.353772893772893</v>
      </c>
      <c r="C12">
        <v>0.353772893772893</v>
      </c>
      <c r="D12">
        <v>0.35054945054945003</v>
      </c>
      <c r="E12">
        <v>0.35135531135531101</v>
      </c>
      <c r="F12">
        <v>0.35296703296703202</v>
      </c>
      <c r="H12">
        <f>B12-$J$1</f>
        <v>0.28868178235266773</v>
      </c>
      <c r="I12">
        <f t="shared" si="0"/>
        <v>0.28868178235266773</v>
      </c>
      <c r="J12">
        <f t="shared" si="0"/>
        <v>0.28545833912922475</v>
      </c>
      <c r="K12">
        <f t="shared" si="2"/>
        <v>0.28626419993508573</v>
      </c>
      <c r="L12">
        <f t="shared" si="1"/>
        <v>0.28787592154680675</v>
      </c>
      <c r="M12">
        <f t="shared" si="3"/>
        <v>0.2873924050632905</v>
      </c>
      <c r="N12">
        <f t="shared" si="6"/>
        <v>0.21800778967867548</v>
      </c>
      <c r="O12">
        <f t="shared" si="4"/>
        <v>6.9384615384615017E-2</v>
      </c>
      <c r="P12">
        <f t="shared" si="5"/>
        <v>0.15913333988405165</v>
      </c>
    </row>
    <row r="13" spans="1:16" x14ac:dyDescent="0.25">
      <c r="A13">
        <v>54.991999999999997</v>
      </c>
      <c r="B13">
        <v>0.314285714285714</v>
      </c>
      <c r="C13">
        <v>0.31267399267399199</v>
      </c>
      <c r="D13">
        <v>0.30783882783882699</v>
      </c>
      <c r="E13">
        <v>0.31267399267399199</v>
      </c>
      <c r="F13">
        <v>0.31347985347985302</v>
      </c>
      <c r="H13">
        <f>B13-$J$1</f>
        <v>0.24919460286548872</v>
      </c>
      <c r="I13">
        <f t="shared" si="0"/>
        <v>0.24758288125376671</v>
      </c>
      <c r="J13">
        <f t="shared" si="0"/>
        <v>0.24274771641860171</v>
      </c>
      <c r="K13">
        <f t="shared" si="2"/>
        <v>0.24758288125376671</v>
      </c>
      <c r="L13">
        <f t="shared" si="1"/>
        <v>0.24838874205962774</v>
      </c>
      <c r="M13">
        <f t="shared" si="3"/>
        <v>0.24709936477025032</v>
      </c>
      <c r="N13">
        <f t="shared" si="6"/>
        <v>0.21800778967867548</v>
      </c>
      <c r="O13">
        <f t="shared" si="4"/>
        <v>2.9091575091574839E-2</v>
      </c>
      <c r="P13">
        <f t="shared" si="5"/>
        <v>6.6721411960676491E-2</v>
      </c>
    </row>
    <row r="14" spans="1:16" x14ac:dyDescent="0.25">
      <c r="A14">
        <v>59.991</v>
      </c>
      <c r="B14">
        <v>0.27802197802197798</v>
      </c>
      <c r="C14">
        <v>0.279633699633699</v>
      </c>
      <c r="D14">
        <v>0.27802197802197798</v>
      </c>
      <c r="E14">
        <v>0.28043956043955998</v>
      </c>
      <c r="F14">
        <v>0.28285714285714197</v>
      </c>
      <c r="H14">
        <f>B14-$J$1</f>
        <v>0.2129308666017527</v>
      </c>
      <c r="I14">
        <f t="shared" si="0"/>
        <v>0.21454258821347372</v>
      </c>
      <c r="J14">
        <f t="shared" si="0"/>
        <v>0.2129308666017527</v>
      </c>
      <c r="K14">
        <f t="shared" si="2"/>
        <v>0.2153484490193347</v>
      </c>
      <c r="L14">
        <f t="shared" si="1"/>
        <v>0.2177660314369167</v>
      </c>
      <c r="M14">
        <f t="shared" si="3"/>
        <v>0.21470376037464609</v>
      </c>
      <c r="N14">
        <f t="shared" si="6"/>
        <v>0.21800778967867548</v>
      </c>
      <c r="O14">
        <f t="shared" si="4"/>
        <v>3.3040293040293989E-3</v>
      </c>
      <c r="P14">
        <f t="shared" si="5"/>
        <v>7.5777780897169911E-3</v>
      </c>
    </row>
    <row r="15" spans="1:16" x14ac:dyDescent="0.25">
      <c r="A15">
        <v>65.006</v>
      </c>
      <c r="B15">
        <v>0.24175824175824101</v>
      </c>
      <c r="C15">
        <v>0.243369963369963</v>
      </c>
      <c r="D15">
        <v>0.24417582417582401</v>
      </c>
      <c r="E15">
        <v>0.24417582417582401</v>
      </c>
      <c r="F15">
        <v>0.24175824175824101</v>
      </c>
      <c r="H15">
        <f>B15-$J$1</f>
        <v>0.17666713033801573</v>
      </c>
      <c r="I15">
        <f t="shared" si="0"/>
        <v>0.17827885194973775</v>
      </c>
      <c r="J15">
        <f t="shared" si="0"/>
        <v>0.17908471275559873</v>
      </c>
      <c r="K15">
        <f t="shared" si="2"/>
        <v>0.17908471275559873</v>
      </c>
      <c r="L15">
        <f t="shared" si="1"/>
        <v>0.17666713033801573</v>
      </c>
      <c r="M15">
        <f t="shared" si="3"/>
        <v>0.17795650762739335</v>
      </c>
      <c r="N15">
        <f t="shared" si="6"/>
        <v>0.21800778967867548</v>
      </c>
      <c r="O15">
        <f t="shared" si="4"/>
        <v>4.0051282051282139E-2</v>
      </c>
      <c r="P15">
        <f t="shared" si="5"/>
        <v>9.1857456355835365E-2</v>
      </c>
    </row>
    <row r="16" spans="1:16" x14ac:dyDescent="0.25">
      <c r="A16">
        <v>70.004999999999995</v>
      </c>
      <c r="B16">
        <v>0.20630036630036599</v>
      </c>
      <c r="C16">
        <v>0.21113553113553099</v>
      </c>
      <c r="D16">
        <v>0.203882783882783</v>
      </c>
      <c r="E16">
        <v>0.203882783882783</v>
      </c>
      <c r="F16">
        <v>0.20791208791208701</v>
      </c>
      <c r="H16">
        <f>B16-$J$1</f>
        <v>0.14120925488014074</v>
      </c>
      <c r="I16">
        <f t="shared" si="0"/>
        <v>0.14604441971530574</v>
      </c>
      <c r="J16">
        <f t="shared" si="0"/>
        <v>0.13879167246255775</v>
      </c>
      <c r="K16">
        <f t="shared" si="2"/>
        <v>0.13879167246255775</v>
      </c>
      <c r="L16">
        <f t="shared" si="1"/>
        <v>0.14282097649186176</v>
      </c>
      <c r="M16">
        <f t="shared" si="3"/>
        <v>0.14153159920248476</v>
      </c>
      <c r="N16">
        <f t="shared" si="6"/>
        <v>0.21800778967867548</v>
      </c>
      <c r="O16">
        <f t="shared" si="4"/>
        <v>7.6476190476190725E-2</v>
      </c>
      <c r="P16">
        <f t="shared" si="5"/>
        <v>0.17539783919856711</v>
      </c>
    </row>
    <row r="17" spans="1:16" x14ac:dyDescent="0.25">
      <c r="A17">
        <v>74.992999999999995</v>
      </c>
      <c r="B17">
        <v>0.178095238095238</v>
      </c>
      <c r="C17">
        <v>0.17890109890109801</v>
      </c>
      <c r="D17">
        <v>0.17326007326007301</v>
      </c>
      <c r="E17">
        <v>0.178095238095238</v>
      </c>
      <c r="F17">
        <v>0.17728937728937699</v>
      </c>
      <c r="H17">
        <f>B17-$J$1</f>
        <v>0.11300412667501274</v>
      </c>
      <c r="I17">
        <f t="shared" si="0"/>
        <v>0.11380998748087275</v>
      </c>
      <c r="J17">
        <f t="shared" si="0"/>
        <v>0.10816896183984774</v>
      </c>
      <c r="K17">
        <f t="shared" si="2"/>
        <v>0.11300412667501274</v>
      </c>
      <c r="L17">
        <f t="shared" si="1"/>
        <v>0.11219826586915173</v>
      </c>
      <c r="M17">
        <f t="shared" si="3"/>
        <v>0.11203709370797954</v>
      </c>
      <c r="N17">
        <f t="shared" si="6"/>
        <v>0.21800778967867548</v>
      </c>
      <c r="O17">
        <f t="shared" si="4"/>
        <v>0.10597069597069594</v>
      </c>
      <c r="P17">
        <f t="shared" si="5"/>
        <v>0.24304337043847729</v>
      </c>
    </row>
    <row r="18" spans="1:16" x14ac:dyDescent="0.25">
      <c r="A18">
        <v>80.007999999999996</v>
      </c>
      <c r="B18">
        <v>0.144249084249084</v>
      </c>
      <c r="C18">
        <v>0.144249084249084</v>
      </c>
      <c r="D18">
        <v>0.141025641025641</v>
      </c>
      <c r="E18">
        <v>0.14586080586080499</v>
      </c>
      <c r="F18">
        <v>0.14827838827838799</v>
      </c>
      <c r="H18">
        <f>B18-$J$1</f>
        <v>7.9157972828858739E-2</v>
      </c>
      <c r="I18">
        <f t="shared" ref="I18:J80" si="7">C18-$J$1</f>
        <v>7.9157972828858739E-2</v>
      </c>
      <c r="J18">
        <f t="shared" si="7"/>
        <v>7.5934529605415732E-2</v>
      </c>
      <c r="K18">
        <f t="shared" si="2"/>
        <v>8.0769694440579728E-2</v>
      </c>
      <c r="L18">
        <f t="shared" si="1"/>
        <v>8.3187276858162726E-2</v>
      </c>
      <c r="M18">
        <f t="shared" si="3"/>
        <v>7.9641489312375136E-2</v>
      </c>
      <c r="N18">
        <f t="shared" si="6"/>
        <v>0.21800778967867548</v>
      </c>
      <c r="O18">
        <f t="shared" si="4"/>
        <v>0.13836630036630035</v>
      </c>
      <c r="P18">
        <f t="shared" si="5"/>
        <v>0.31734256048887116</v>
      </c>
    </row>
    <row r="19" spans="1:16" x14ac:dyDescent="0.25">
      <c r="A19">
        <v>84.995999999999995</v>
      </c>
      <c r="B19">
        <v>0.117655677655677</v>
      </c>
      <c r="C19">
        <v>0.117655677655677</v>
      </c>
      <c r="D19">
        <v>0.116043956043956</v>
      </c>
      <c r="E19">
        <v>0.11846153846153799</v>
      </c>
      <c r="F19">
        <v>0.117655677655677</v>
      </c>
      <c r="H19">
        <f>B19-$J$1</f>
        <v>5.2564566235451735E-2</v>
      </c>
      <c r="I19">
        <f t="shared" si="7"/>
        <v>5.2564566235451735E-2</v>
      </c>
      <c r="J19">
        <f t="shared" si="7"/>
        <v>5.0952844623730731E-2</v>
      </c>
      <c r="K19">
        <f t="shared" si="2"/>
        <v>5.3370427041312729E-2</v>
      </c>
      <c r="L19">
        <f t="shared" si="1"/>
        <v>5.2564566235451735E-2</v>
      </c>
      <c r="M19">
        <f t="shared" si="3"/>
        <v>5.2403394074279727E-2</v>
      </c>
      <c r="N19">
        <f t="shared" si="6"/>
        <v>0.21800778967867548</v>
      </c>
      <c r="O19">
        <f t="shared" si="4"/>
        <v>0.16560439560439577</v>
      </c>
      <c r="P19">
        <f t="shared" si="5"/>
        <v>0.37981302376507331</v>
      </c>
    </row>
    <row r="20" spans="1:16" x14ac:dyDescent="0.25">
      <c r="A20">
        <v>89.995000000000005</v>
      </c>
      <c r="B20">
        <v>9.8315018315018293E-2</v>
      </c>
      <c r="C20">
        <v>9.3479853479853395E-2</v>
      </c>
      <c r="D20">
        <v>9.9120879120879093E-2</v>
      </c>
      <c r="E20">
        <v>9.5897435897435795E-2</v>
      </c>
      <c r="F20">
        <v>9.2673992673992595E-2</v>
      </c>
      <c r="H20">
        <f>B20-$J$1</f>
        <v>3.3223906894793029E-2</v>
      </c>
      <c r="I20">
        <f t="shared" si="7"/>
        <v>2.838874205962813E-2</v>
      </c>
      <c r="J20">
        <f t="shared" si="7"/>
        <v>3.4029767700653829E-2</v>
      </c>
      <c r="K20">
        <f t="shared" si="2"/>
        <v>3.0806324477210531E-2</v>
      </c>
      <c r="L20">
        <f t="shared" si="1"/>
        <v>2.758288125376733E-2</v>
      </c>
      <c r="M20">
        <f t="shared" si="3"/>
        <v>3.0806324477210566E-2</v>
      </c>
      <c r="N20">
        <f t="shared" si="6"/>
        <v>0.21800778967867548</v>
      </c>
      <c r="O20">
        <f t="shared" si="4"/>
        <v>0.18720146520146491</v>
      </c>
      <c r="P20">
        <f t="shared" si="5"/>
        <v>0.42934581713200154</v>
      </c>
    </row>
    <row r="21" spans="1:16" x14ac:dyDescent="0.25">
      <c r="A21">
        <v>95.004000000000005</v>
      </c>
      <c r="B21">
        <v>7.9780219780219694E-2</v>
      </c>
      <c r="C21">
        <v>7.8168498168498093E-2</v>
      </c>
      <c r="D21">
        <v>7.8168498168498093E-2</v>
      </c>
      <c r="E21">
        <v>8.0586080586080494E-2</v>
      </c>
      <c r="F21">
        <v>8.7838827838827793E-2</v>
      </c>
      <c r="H21">
        <f>B21-$J$1</f>
        <v>1.4689108359994429E-2</v>
      </c>
      <c r="I21">
        <f t="shared" si="7"/>
        <v>1.3077386748272829E-2</v>
      </c>
      <c r="J21">
        <f t="shared" si="7"/>
        <v>1.3077386748272829E-2</v>
      </c>
      <c r="K21">
        <f t="shared" si="2"/>
        <v>1.549496916585523E-2</v>
      </c>
      <c r="L21">
        <f t="shared" si="1"/>
        <v>2.2747716418602529E-2</v>
      </c>
      <c r="M21">
        <f t="shared" si="3"/>
        <v>1.5817313488199571E-2</v>
      </c>
      <c r="N21">
        <f t="shared" si="6"/>
        <v>0.21800778967867548</v>
      </c>
      <c r="O21">
        <f t="shared" si="4"/>
        <v>0.20219047619047592</v>
      </c>
      <c r="P21">
        <f t="shared" si="5"/>
        <v>0.46372305431949723</v>
      </c>
    </row>
    <row r="22" spans="1:16" x14ac:dyDescent="0.25">
      <c r="A22">
        <v>100.003</v>
      </c>
      <c r="B22">
        <v>6.7692307692307593E-2</v>
      </c>
      <c r="C22">
        <v>6.8498168498168505E-2</v>
      </c>
      <c r="D22">
        <v>7.2527472527472506E-2</v>
      </c>
      <c r="E22">
        <v>6.8498168498168505E-2</v>
      </c>
      <c r="F22">
        <v>6.9304029304029305E-2</v>
      </c>
      <c r="H22">
        <f>B22-$J$1</f>
        <v>2.601196272082329E-3</v>
      </c>
      <c r="I22">
        <f t="shared" si="7"/>
        <v>3.4070570779432402E-3</v>
      </c>
      <c r="J22">
        <f t="shared" si="7"/>
        <v>7.4363611072472413E-3</v>
      </c>
      <c r="K22">
        <f t="shared" si="2"/>
        <v>3.4070570779432402E-3</v>
      </c>
      <c r="L22">
        <f t="shared" si="1"/>
        <v>4.2129178838040404E-3</v>
      </c>
      <c r="M22">
        <f t="shared" si="3"/>
        <v>4.2129178838040179E-3</v>
      </c>
      <c r="N22">
        <f t="shared" si="6"/>
        <v>0.21800778967867548</v>
      </c>
      <c r="O22">
        <f t="shared" si="4"/>
        <v>0.21379487179487147</v>
      </c>
      <c r="P22">
        <f t="shared" si="5"/>
        <v>0.4903376895614292</v>
      </c>
    </row>
    <row r="23" spans="1:16" x14ac:dyDescent="0.25">
      <c r="A23">
        <v>105.00700000000001</v>
      </c>
      <c r="B23">
        <v>6.1245421245421199E-2</v>
      </c>
      <c r="C23">
        <v>6.5274725274725207E-2</v>
      </c>
      <c r="D23">
        <v>6.4468864468864406E-2</v>
      </c>
      <c r="E23">
        <v>6.6886446886446793E-2</v>
      </c>
      <c r="F23">
        <v>6.2051282051281999E-2</v>
      </c>
      <c r="H23">
        <f>B23-$J$1</f>
        <v>-3.8456901748040659E-3</v>
      </c>
      <c r="I23">
        <f t="shared" si="7"/>
        <v>1.8361385449994216E-4</v>
      </c>
      <c r="J23">
        <f t="shared" si="7"/>
        <v>-6.2224695136085806E-4</v>
      </c>
      <c r="K23">
        <f t="shared" si="2"/>
        <v>1.7953354662215287E-3</v>
      </c>
      <c r="L23">
        <f t="shared" si="1"/>
        <v>-3.0398293689432657E-3</v>
      </c>
      <c r="M23">
        <f t="shared" si="3"/>
        <v>-1.1057634348773438E-3</v>
      </c>
      <c r="N23">
        <f t="shared" si="6"/>
        <v>0.21800778967867548</v>
      </c>
      <c r="O23">
        <f t="shared" si="4"/>
        <v>0.21911355311355282</v>
      </c>
      <c r="P23">
        <f t="shared" si="5"/>
        <v>0.50253606404731488</v>
      </c>
    </row>
    <row r="24" spans="1:16" x14ac:dyDescent="0.25">
      <c r="A24">
        <v>109.99</v>
      </c>
      <c r="B24">
        <v>6.4468864468864406E-2</v>
      </c>
      <c r="C24">
        <v>7.0109890109890105E-2</v>
      </c>
      <c r="D24">
        <v>6.7692307692307593E-2</v>
      </c>
      <c r="E24">
        <v>7.0109890109890105E-2</v>
      </c>
      <c r="F24">
        <v>7.0109890109890105E-2</v>
      </c>
      <c r="H24">
        <f>B24-$J$1</f>
        <v>-6.2224695136085806E-4</v>
      </c>
      <c r="I24">
        <f t="shared" si="7"/>
        <v>5.0187786896648406E-3</v>
      </c>
      <c r="J24">
        <f t="shared" si="7"/>
        <v>2.601196272082329E-3</v>
      </c>
      <c r="K24">
        <f t="shared" si="2"/>
        <v>5.0187786896648406E-3</v>
      </c>
      <c r="L24">
        <f t="shared" si="1"/>
        <v>5.0187786896648406E-3</v>
      </c>
      <c r="M24">
        <f t="shared" si="3"/>
        <v>3.4070570779431986E-3</v>
      </c>
      <c r="N24">
        <f t="shared" si="6"/>
        <v>0.21800778967867548</v>
      </c>
      <c r="O24">
        <f t="shared" si="4"/>
        <v>0.21460073260073229</v>
      </c>
      <c r="P24">
        <f t="shared" si="5"/>
        <v>0.49218592811989675</v>
      </c>
    </row>
    <row r="25" spans="1:16" x14ac:dyDescent="0.25">
      <c r="A25">
        <v>115.005</v>
      </c>
      <c r="B25">
        <v>7.8974358974358894E-2</v>
      </c>
      <c r="C25">
        <v>7.6556776556776507E-2</v>
      </c>
      <c r="D25">
        <v>7.8974358974358894E-2</v>
      </c>
      <c r="E25">
        <v>7.8974358974358894E-2</v>
      </c>
      <c r="F25">
        <v>7.8168498168498093E-2</v>
      </c>
      <c r="H25">
        <f>B25-$J$1</f>
        <v>1.3883247554133629E-2</v>
      </c>
      <c r="I25">
        <f t="shared" si="7"/>
        <v>1.1465665136551242E-2</v>
      </c>
      <c r="J25">
        <f t="shared" si="7"/>
        <v>1.3883247554133629E-2</v>
      </c>
      <c r="K25">
        <f t="shared" si="2"/>
        <v>1.3883247554133629E-2</v>
      </c>
      <c r="L25">
        <f t="shared" si="1"/>
        <v>1.3077386748272829E-2</v>
      </c>
      <c r="M25">
        <f t="shared" si="3"/>
        <v>1.3238558909444993E-2</v>
      </c>
      <c r="N25">
        <f t="shared" si="6"/>
        <v>0.21800778967867548</v>
      </c>
      <c r="O25">
        <f t="shared" si="4"/>
        <v>0.20476923076923048</v>
      </c>
      <c r="P25">
        <f t="shared" si="5"/>
        <v>0.46963741770659323</v>
      </c>
    </row>
    <row r="26" spans="1:16" x14ac:dyDescent="0.25">
      <c r="A26">
        <v>119.99299999999999</v>
      </c>
      <c r="B26">
        <v>9.2673992673992595E-2</v>
      </c>
      <c r="C26">
        <v>9.2673992673992595E-2</v>
      </c>
      <c r="D26">
        <v>9.1062271062270994E-2</v>
      </c>
      <c r="E26">
        <v>8.8644688644688593E-2</v>
      </c>
      <c r="F26">
        <v>9.1868131868131794E-2</v>
      </c>
      <c r="H26">
        <f>B26-$J$1</f>
        <v>2.758288125376733E-2</v>
      </c>
      <c r="I26">
        <f t="shared" si="7"/>
        <v>2.758288125376733E-2</v>
      </c>
      <c r="J26">
        <f t="shared" si="7"/>
        <v>2.597115964204573E-2</v>
      </c>
      <c r="K26">
        <f t="shared" si="2"/>
        <v>2.3553577224463329E-2</v>
      </c>
      <c r="L26">
        <f t="shared" si="1"/>
        <v>2.677702044790653E-2</v>
      </c>
      <c r="M26">
        <f t="shared" si="3"/>
        <v>2.6293503964390053E-2</v>
      </c>
      <c r="N26">
        <f t="shared" si="6"/>
        <v>0.21800778967867548</v>
      </c>
      <c r="O26">
        <f t="shared" si="4"/>
        <v>0.19171428571428542</v>
      </c>
      <c r="P26">
        <f t="shared" si="5"/>
        <v>0.43969595305941961</v>
      </c>
    </row>
    <row r="27" spans="1:16" x14ac:dyDescent="0.25">
      <c r="A27">
        <v>125.002</v>
      </c>
      <c r="B27">
        <v>0.12007326007326</v>
      </c>
      <c r="C27">
        <v>0.113626373626373</v>
      </c>
      <c r="D27">
        <v>0.113626373626373</v>
      </c>
      <c r="E27">
        <v>0.116043956043956</v>
      </c>
      <c r="F27">
        <v>0.113626373626373</v>
      </c>
      <c r="H27">
        <f>B27-$J$1</f>
        <v>5.4982148653034732E-2</v>
      </c>
      <c r="I27">
        <f t="shared" si="7"/>
        <v>4.8535262206147733E-2</v>
      </c>
      <c r="J27">
        <f t="shared" si="7"/>
        <v>4.8535262206147733E-2</v>
      </c>
      <c r="K27">
        <f t="shared" si="2"/>
        <v>5.0952844623730731E-2</v>
      </c>
      <c r="L27">
        <f t="shared" si="1"/>
        <v>4.8535262206147733E-2</v>
      </c>
      <c r="M27">
        <f t="shared" si="3"/>
        <v>5.0308155979041737E-2</v>
      </c>
      <c r="N27">
        <f t="shared" si="6"/>
        <v>0.21800778967867548</v>
      </c>
      <c r="O27">
        <f t="shared" si="4"/>
        <v>0.16769963369963375</v>
      </c>
      <c r="P27">
        <f t="shared" si="5"/>
        <v>0.38461844401708861</v>
      </c>
    </row>
    <row r="28" spans="1:16" x14ac:dyDescent="0.25">
      <c r="A28">
        <v>129.99600000000001</v>
      </c>
      <c r="B28">
        <v>0.144249084249084</v>
      </c>
      <c r="C28">
        <v>0.14505494505494501</v>
      </c>
      <c r="D28">
        <v>0.13699633699633701</v>
      </c>
      <c r="E28">
        <v>0.141025641025641</v>
      </c>
      <c r="F28">
        <v>0.13941391941391901</v>
      </c>
      <c r="H28">
        <f>B28-$J$1</f>
        <v>7.9157972828858739E-2</v>
      </c>
      <c r="I28">
        <f t="shared" si="7"/>
        <v>7.9963833634719747E-2</v>
      </c>
      <c r="J28">
        <f t="shared" si="7"/>
        <v>7.1905225576111745E-2</v>
      </c>
      <c r="K28">
        <f t="shared" si="2"/>
        <v>7.5934529605415732E-2</v>
      </c>
      <c r="L28">
        <f t="shared" si="1"/>
        <v>7.4322807993693743E-2</v>
      </c>
      <c r="M28">
        <f t="shared" si="3"/>
        <v>7.6256873927759941E-2</v>
      </c>
      <c r="N28">
        <f t="shared" si="6"/>
        <v>0.21800778967867548</v>
      </c>
      <c r="O28">
        <f t="shared" si="4"/>
        <v>0.14175091575091553</v>
      </c>
      <c r="P28">
        <f t="shared" si="5"/>
        <v>0.32510516243443421</v>
      </c>
    </row>
    <row r="29" spans="1:16" x14ac:dyDescent="0.25">
      <c r="A29">
        <v>135.005</v>
      </c>
      <c r="B29">
        <v>0.17406593406593401</v>
      </c>
      <c r="C29">
        <v>0.167619047619047</v>
      </c>
      <c r="D29">
        <v>0.17084249084249001</v>
      </c>
      <c r="E29">
        <v>0.17164835164835099</v>
      </c>
      <c r="F29">
        <v>0.17326007326007301</v>
      </c>
      <c r="H29">
        <f>B29-$J$1</f>
        <v>0.10897482264570875</v>
      </c>
      <c r="I29">
        <f t="shared" si="7"/>
        <v>0.10252793619882174</v>
      </c>
      <c r="J29">
        <f t="shared" si="7"/>
        <v>0.10575137942226474</v>
      </c>
      <c r="K29">
        <f t="shared" si="2"/>
        <v>0.10655724022812572</v>
      </c>
      <c r="L29">
        <f t="shared" si="1"/>
        <v>0.10816896183984774</v>
      </c>
      <c r="M29">
        <f t="shared" si="3"/>
        <v>0.10639606806695374</v>
      </c>
      <c r="N29">
        <f t="shared" si="6"/>
        <v>0.21800778967867548</v>
      </c>
      <c r="O29">
        <f t="shared" si="4"/>
        <v>0.11161172161172174</v>
      </c>
      <c r="P29">
        <f t="shared" si="5"/>
        <v>0.25598104034775021</v>
      </c>
    </row>
    <row r="30" spans="1:16" x14ac:dyDescent="0.25">
      <c r="A30">
        <v>139.99299999999999</v>
      </c>
      <c r="B30">
        <v>0.209523809523809</v>
      </c>
      <c r="C30">
        <v>0.20227106227106201</v>
      </c>
      <c r="D30">
        <v>0.20791208791208701</v>
      </c>
      <c r="E30">
        <v>0.20871794871794799</v>
      </c>
      <c r="F30">
        <v>0.199047619047619</v>
      </c>
      <c r="H30">
        <f>B30-$J$1</f>
        <v>0.14443269810358372</v>
      </c>
      <c r="I30">
        <f t="shared" si="7"/>
        <v>0.13717995085083673</v>
      </c>
      <c r="J30">
        <f t="shared" si="7"/>
        <v>0.14282097649186176</v>
      </c>
      <c r="K30">
        <f t="shared" si="2"/>
        <v>0.14362683729772274</v>
      </c>
      <c r="L30">
        <f t="shared" si="1"/>
        <v>0.13395650762739375</v>
      </c>
      <c r="M30">
        <f t="shared" si="3"/>
        <v>0.14040339407427974</v>
      </c>
      <c r="N30">
        <f t="shared" si="6"/>
        <v>0.21800778967867548</v>
      </c>
      <c r="O30">
        <f t="shared" si="4"/>
        <v>7.7604395604395748E-2</v>
      </c>
      <c r="P30">
        <f t="shared" si="5"/>
        <v>0.1779853731804214</v>
      </c>
    </row>
    <row r="31" spans="1:16" x14ac:dyDescent="0.25">
      <c r="A31">
        <v>145.00299999999999</v>
      </c>
      <c r="B31">
        <v>0.24095238095238</v>
      </c>
      <c r="C31">
        <v>0.23692307692307599</v>
      </c>
      <c r="D31">
        <v>0.238534798534798</v>
      </c>
      <c r="E31">
        <v>0.243369963369963</v>
      </c>
      <c r="F31">
        <v>0.24014652014651999</v>
      </c>
      <c r="H31">
        <f>B31-$J$1</f>
        <v>0.17586126953215475</v>
      </c>
      <c r="I31">
        <f t="shared" si="7"/>
        <v>0.17183196550285074</v>
      </c>
      <c r="J31">
        <f t="shared" si="7"/>
        <v>0.17344368711457275</v>
      </c>
      <c r="K31">
        <f t="shared" si="2"/>
        <v>0.17827885194973775</v>
      </c>
      <c r="L31">
        <f t="shared" si="1"/>
        <v>0.17505540872629471</v>
      </c>
      <c r="M31">
        <f t="shared" si="3"/>
        <v>0.17489423656512218</v>
      </c>
      <c r="N31">
        <f t="shared" si="6"/>
        <v>0.21800778967867548</v>
      </c>
      <c r="O31">
        <f t="shared" si="4"/>
        <v>4.3113553113553305E-2</v>
      </c>
      <c r="P31">
        <f t="shared" si="5"/>
        <v>9.8880762878012118E-2</v>
      </c>
    </row>
    <row r="32" spans="1:16" x14ac:dyDescent="0.25">
      <c r="A32">
        <v>149.98500000000001</v>
      </c>
      <c r="B32">
        <v>0.28043956043955998</v>
      </c>
      <c r="C32">
        <v>0.27560439560439498</v>
      </c>
      <c r="D32">
        <v>0.277216117216117</v>
      </c>
      <c r="E32">
        <v>0.279633699633699</v>
      </c>
      <c r="F32">
        <v>0.28043956043955998</v>
      </c>
      <c r="H32">
        <f>B32-$J$1</f>
        <v>0.2153484490193347</v>
      </c>
      <c r="I32">
        <f t="shared" si="7"/>
        <v>0.2105132841841697</v>
      </c>
      <c r="J32">
        <f t="shared" si="7"/>
        <v>0.21212500579589172</v>
      </c>
      <c r="K32">
        <f t="shared" si="2"/>
        <v>0.21454258821347372</v>
      </c>
      <c r="L32">
        <f t="shared" si="1"/>
        <v>0.2153484490193347</v>
      </c>
      <c r="M32">
        <f t="shared" si="3"/>
        <v>0.2135755552464409</v>
      </c>
      <c r="N32">
        <f t="shared" si="6"/>
        <v>0.21800778967867548</v>
      </c>
      <c r="O32">
        <f t="shared" si="4"/>
        <v>4.4322344322345886E-3</v>
      </c>
      <c r="P32">
        <f t="shared" si="5"/>
        <v>1.0165312071571675E-2</v>
      </c>
    </row>
    <row r="33" spans="1:16" x14ac:dyDescent="0.25">
      <c r="A33">
        <v>154.99</v>
      </c>
      <c r="B33">
        <v>0.321538461538461</v>
      </c>
      <c r="C33">
        <v>0.316703296703296</v>
      </c>
      <c r="D33">
        <v>0.32073260073260002</v>
      </c>
      <c r="E33">
        <v>0.321538461538461</v>
      </c>
      <c r="F33">
        <v>0.316703296703296</v>
      </c>
      <c r="H33">
        <f>B33-$J$1</f>
        <v>0.25644735011823572</v>
      </c>
      <c r="I33">
        <f t="shared" si="7"/>
        <v>0.25161218528307072</v>
      </c>
      <c r="J33">
        <f t="shared" si="7"/>
        <v>0.25564148931237474</v>
      </c>
      <c r="K33">
        <f t="shared" si="2"/>
        <v>0.25644735011823572</v>
      </c>
      <c r="L33">
        <f t="shared" si="1"/>
        <v>0.25161218528307072</v>
      </c>
      <c r="M33">
        <f t="shared" si="3"/>
        <v>0.25435211202299757</v>
      </c>
      <c r="N33">
        <f t="shared" si="6"/>
        <v>0.21800778967867548</v>
      </c>
      <c r="O33">
        <f t="shared" si="4"/>
        <v>3.6344322344322083E-2</v>
      </c>
      <c r="P33">
        <f t="shared" si="5"/>
        <v>8.3355558986884071E-2</v>
      </c>
    </row>
    <row r="34" spans="1:16" x14ac:dyDescent="0.25">
      <c r="A34">
        <v>160.01</v>
      </c>
      <c r="B34">
        <v>0.35457875457875399</v>
      </c>
      <c r="C34">
        <v>0.35538461538461502</v>
      </c>
      <c r="D34">
        <v>0.361025641025641</v>
      </c>
      <c r="E34">
        <v>0.353772893772893</v>
      </c>
      <c r="F34">
        <v>0.35216117216117199</v>
      </c>
      <c r="H34">
        <f>B34-$J$1</f>
        <v>0.28948764315852871</v>
      </c>
      <c r="I34">
        <f t="shared" si="7"/>
        <v>0.29029350396438974</v>
      </c>
      <c r="J34">
        <f t="shared" si="7"/>
        <v>0.29593452960541572</v>
      </c>
      <c r="K34">
        <f t="shared" si="2"/>
        <v>0.28868178235266773</v>
      </c>
      <c r="L34">
        <f t="shared" si="1"/>
        <v>0.28707006074094671</v>
      </c>
      <c r="M34">
        <f t="shared" si="3"/>
        <v>0.29029350396438969</v>
      </c>
      <c r="N34">
        <f t="shared" si="6"/>
        <v>0.21800778967867548</v>
      </c>
      <c r="O34">
        <f t="shared" si="4"/>
        <v>7.2285714285714203E-2</v>
      </c>
      <c r="P34">
        <f t="shared" si="5"/>
        <v>0.16578699869453528</v>
      </c>
    </row>
    <row r="35" spans="1:16" x14ac:dyDescent="0.25">
      <c r="A35">
        <v>165.00899999999999</v>
      </c>
      <c r="B35">
        <v>0.39164835164835099</v>
      </c>
      <c r="C35">
        <v>0.39245421245421203</v>
      </c>
      <c r="D35">
        <v>0.38278388278388198</v>
      </c>
      <c r="E35">
        <v>0.384395604395604</v>
      </c>
      <c r="F35">
        <v>0.38278388278388198</v>
      </c>
      <c r="H35">
        <f>B35-$J$1</f>
        <v>0.32655724022812571</v>
      </c>
      <c r="I35">
        <f t="shared" si="7"/>
        <v>0.32736310103398675</v>
      </c>
      <c r="J35">
        <f t="shared" si="7"/>
        <v>0.3176927713636567</v>
      </c>
      <c r="K35">
        <f t="shared" si="2"/>
        <v>0.31930449297537872</v>
      </c>
      <c r="L35">
        <f t="shared" si="1"/>
        <v>0.3176927713636567</v>
      </c>
      <c r="M35">
        <f t="shared" si="3"/>
        <v>0.32172207539296088</v>
      </c>
      <c r="N35">
        <f t="shared" si="6"/>
        <v>0.21800778967867548</v>
      </c>
      <c r="O35">
        <f t="shared" si="4"/>
        <v>0.1037142857142854</v>
      </c>
      <c r="P35">
        <f t="shared" si="5"/>
        <v>0.23786830247476765</v>
      </c>
    </row>
    <row r="36" spans="1:16" x14ac:dyDescent="0.25">
      <c r="A36">
        <v>170.00200000000001</v>
      </c>
      <c r="B36">
        <v>0.41582417582417502</v>
      </c>
      <c r="C36">
        <v>0.42065934065934002</v>
      </c>
      <c r="D36">
        <v>0.41582417582417502</v>
      </c>
      <c r="E36">
        <v>0.41824175824175802</v>
      </c>
      <c r="F36">
        <v>0.419047619047619</v>
      </c>
      <c r="H36">
        <f>B36-$J$1</f>
        <v>0.35073306440394975</v>
      </c>
      <c r="I36">
        <f t="shared" si="7"/>
        <v>0.35556822923911474</v>
      </c>
      <c r="J36">
        <f t="shared" si="7"/>
        <v>0.35073306440394975</v>
      </c>
      <c r="K36">
        <f t="shared" si="2"/>
        <v>0.35315064682153274</v>
      </c>
      <c r="L36">
        <f t="shared" si="1"/>
        <v>0.35395650762739372</v>
      </c>
      <c r="M36">
        <f t="shared" si="3"/>
        <v>0.35282830249918817</v>
      </c>
      <c r="N36">
        <f t="shared" si="6"/>
        <v>0.21800778967867548</v>
      </c>
      <c r="O36">
        <f t="shared" si="4"/>
        <v>0.13482051282051269</v>
      </c>
      <c r="P36">
        <f t="shared" si="5"/>
        <v>0.30921031083161388</v>
      </c>
    </row>
    <row r="37" spans="1:16" x14ac:dyDescent="0.25">
      <c r="A37">
        <v>175.00700000000001</v>
      </c>
      <c r="B37">
        <v>0.44161172161172102</v>
      </c>
      <c r="C37">
        <v>0.44322344322344298</v>
      </c>
      <c r="D37">
        <v>0.444835164835164</v>
      </c>
      <c r="E37">
        <v>0.44161172161172102</v>
      </c>
      <c r="F37">
        <v>0.43677655677655602</v>
      </c>
      <c r="H37">
        <f>B37-$J$1</f>
        <v>0.37652061019149574</v>
      </c>
      <c r="I37">
        <f t="shared" si="7"/>
        <v>0.3781323318032177</v>
      </c>
      <c r="J37">
        <f t="shared" si="7"/>
        <v>0.37974405341493872</v>
      </c>
      <c r="K37">
        <f t="shared" si="2"/>
        <v>0.37652061019149574</v>
      </c>
      <c r="L37">
        <f t="shared" si="1"/>
        <v>0.37168544535633075</v>
      </c>
      <c r="M37">
        <f t="shared" si="3"/>
        <v>0.37652061019149574</v>
      </c>
      <c r="N37">
        <f t="shared" si="6"/>
        <v>0.21800778967867548</v>
      </c>
      <c r="O37">
        <f t="shared" si="4"/>
        <v>0.15851282051282026</v>
      </c>
      <c r="P37">
        <f t="shared" si="5"/>
        <v>0.3635485244505583</v>
      </c>
    </row>
    <row r="38" spans="1:16" x14ac:dyDescent="0.25">
      <c r="A38">
        <v>179.98400000000001</v>
      </c>
      <c r="B38">
        <v>0.46417582417582398</v>
      </c>
      <c r="C38">
        <v>0.46095238095238</v>
      </c>
      <c r="D38">
        <v>0.46175824175824098</v>
      </c>
      <c r="E38">
        <v>0.46417582417582398</v>
      </c>
      <c r="F38">
        <v>0.46417582417582398</v>
      </c>
      <c r="H38">
        <f>B38-$J$1</f>
        <v>0.3990847127555987</v>
      </c>
      <c r="I38">
        <f t="shared" si="7"/>
        <v>0.39586126953215472</v>
      </c>
      <c r="J38">
        <f t="shared" si="7"/>
        <v>0.39666713033801571</v>
      </c>
      <c r="K38">
        <f t="shared" si="2"/>
        <v>0.3990847127555987</v>
      </c>
      <c r="L38">
        <f t="shared" si="1"/>
        <v>0.3990847127555987</v>
      </c>
      <c r="M38">
        <f t="shared" si="3"/>
        <v>0.39795650762739332</v>
      </c>
      <c r="N38">
        <f t="shared" si="6"/>
        <v>0.21800778967867548</v>
      </c>
      <c r="O38">
        <f t="shared" si="4"/>
        <v>0.17994871794871783</v>
      </c>
      <c r="P38">
        <f t="shared" si="5"/>
        <v>0.41271167010579435</v>
      </c>
    </row>
    <row r="39" spans="1:16" x14ac:dyDescent="0.25">
      <c r="A39">
        <v>184.982</v>
      </c>
      <c r="B39">
        <v>0.47868131868131802</v>
      </c>
      <c r="C39">
        <v>0.479487179487179</v>
      </c>
      <c r="D39">
        <v>0.47384615384615297</v>
      </c>
      <c r="E39">
        <v>0.47545787545787499</v>
      </c>
      <c r="F39">
        <v>0.47787545787545699</v>
      </c>
      <c r="H39">
        <f>B39-$J$1</f>
        <v>0.41359020726109275</v>
      </c>
      <c r="I39">
        <f t="shared" si="7"/>
        <v>0.41439606806695373</v>
      </c>
      <c r="J39">
        <f t="shared" si="7"/>
        <v>0.40875504242592769</v>
      </c>
      <c r="K39">
        <f t="shared" si="2"/>
        <v>0.41036676403764971</v>
      </c>
      <c r="L39">
        <f t="shared" si="1"/>
        <v>0.41278434645523171</v>
      </c>
      <c r="M39">
        <f t="shared" si="3"/>
        <v>0.41197848564937117</v>
      </c>
      <c r="N39">
        <f t="shared" si="6"/>
        <v>0.21800778967867548</v>
      </c>
      <c r="O39">
        <f t="shared" si="4"/>
        <v>0.19397069597069569</v>
      </c>
      <c r="P39">
        <f t="shared" si="5"/>
        <v>0.44487102102312859</v>
      </c>
    </row>
    <row r="40" spans="1:16" x14ac:dyDescent="0.25">
      <c r="A40">
        <v>190.00899999999999</v>
      </c>
      <c r="B40">
        <v>0.48996336996336898</v>
      </c>
      <c r="C40">
        <v>0.486739926739926</v>
      </c>
      <c r="D40">
        <v>0.48512820512820498</v>
      </c>
      <c r="E40">
        <v>0.486739926739926</v>
      </c>
      <c r="F40">
        <v>0.49238095238095198</v>
      </c>
      <c r="H40">
        <f>B40-$J$1</f>
        <v>0.4248722585431437</v>
      </c>
      <c r="I40">
        <f t="shared" si="7"/>
        <v>0.42164881531970072</v>
      </c>
      <c r="J40">
        <f t="shared" si="7"/>
        <v>0.4200370937079797</v>
      </c>
      <c r="K40">
        <f t="shared" si="2"/>
        <v>0.42164881531970072</v>
      </c>
      <c r="L40">
        <f t="shared" si="1"/>
        <v>0.4272898409607267</v>
      </c>
      <c r="M40">
        <f t="shared" si="3"/>
        <v>0.42309936477025029</v>
      </c>
      <c r="N40">
        <f t="shared" si="6"/>
        <v>0.21800778967867548</v>
      </c>
      <c r="O40">
        <f t="shared" si="4"/>
        <v>0.2050915750915748</v>
      </c>
      <c r="P40">
        <f t="shared" si="5"/>
        <v>0.4703767131299802</v>
      </c>
    </row>
    <row r="41" spans="1:16" x14ac:dyDescent="0.25">
      <c r="A41">
        <v>194.99600000000001</v>
      </c>
      <c r="B41">
        <v>0.489157509157509</v>
      </c>
      <c r="C41">
        <v>0.49238095238095198</v>
      </c>
      <c r="D41">
        <v>0.48996336996336898</v>
      </c>
      <c r="E41">
        <v>0.48835164835164802</v>
      </c>
      <c r="F41">
        <v>0.49238095238095198</v>
      </c>
      <c r="H41">
        <f>B41-$J$1</f>
        <v>0.42406639773728372</v>
      </c>
      <c r="I41">
        <f t="shared" si="7"/>
        <v>0.4272898409607267</v>
      </c>
      <c r="J41">
        <f t="shared" si="7"/>
        <v>0.4248722585431437</v>
      </c>
      <c r="K41">
        <f t="shared" si="2"/>
        <v>0.42326053693142274</v>
      </c>
      <c r="L41">
        <f t="shared" si="1"/>
        <v>0.4272898409607267</v>
      </c>
      <c r="M41">
        <f t="shared" si="3"/>
        <v>0.42535577502666078</v>
      </c>
      <c r="N41">
        <f t="shared" si="6"/>
        <v>0.21800778967867548</v>
      </c>
      <c r="O41">
        <f t="shared" si="4"/>
        <v>0.20734798534798529</v>
      </c>
      <c r="P41">
        <f t="shared" si="5"/>
        <v>0.47555178109368978</v>
      </c>
    </row>
    <row r="42" spans="1:16" x14ac:dyDescent="0.25">
      <c r="A42">
        <v>200.006</v>
      </c>
      <c r="B42">
        <v>0.48835164835164802</v>
      </c>
      <c r="C42">
        <v>0.48271062271062198</v>
      </c>
      <c r="D42">
        <v>0.48351648351648302</v>
      </c>
      <c r="E42">
        <v>0.486739926739926</v>
      </c>
      <c r="F42">
        <v>0.484322344322344</v>
      </c>
      <c r="H42">
        <f>B42-$J$1</f>
        <v>0.42326053693142274</v>
      </c>
      <c r="I42">
        <f t="shared" si="7"/>
        <v>0.41761951129039671</v>
      </c>
      <c r="J42">
        <f t="shared" si="7"/>
        <v>0.41842537209625774</v>
      </c>
      <c r="K42">
        <f t="shared" si="2"/>
        <v>0.42164881531970072</v>
      </c>
      <c r="L42">
        <f t="shared" si="1"/>
        <v>0.41923123290211872</v>
      </c>
      <c r="M42">
        <f t="shared" si="3"/>
        <v>0.42003709370797926</v>
      </c>
      <c r="N42">
        <f t="shared" si="6"/>
        <v>0.21800778967867548</v>
      </c>
      <c r="O42">
        <f t="shared" si="4"/>
        <v>0.20202930402930377</v>
      </c>
      <c r="P42">
        <f t="shared" si="5"/>
        <v>0.46335340660780377</v>
      </c>
    </row>
    <row r="43" spans="1:16" x14ac:dyDescent="0.25">
      <c r="A43">
        <v>205.01</v>
      </c>
      <c r="B43">
        <v>0.47787545787545699</v>
      </c>
      <c r="C43">
        <v>0.47706959706959701</v>
      </c>
      <c r="D43">
        <v>0.47545787545787499</v>
      </c>
      <c r="E43">
        <v>0.47384615384615297</v>
      </c>
      <c r="F43">
        <v>0.47465201465201401</v>
      </c>
      <c r="H43">
        <f>B43-$J$1</f>
        <v>0.41278434645523171</v>
      </c>
      <c r="I43">
        <f t="shared" si="7"/>
        <v>0.41197848564937173</v>
      </c>
      <c r="J43">
        <f t="shared" si="7"/>
        <v>0.41036676403764971</v>
      </c>
      <c r="K43">
        <f t="shared" si="2"/>
        <v>0.40875504242592769</v>
      </c>
      <c r="L43">
        <f t="shared" si="1"/>
        <v>0.40956090323178873</v>
      </c>
      <c r="M43">
        <f t="shared" si="3"/>
        <v>0.41068910835999384</v>
      </c>
      <c r="N43">
        <f t="shared" si="6"/>
        <v>0.21800778967867548</v>
      </c>
      <c r="O43">
        <f t="shared" si="4"/>
        <v>0.19268131868131835</v>
      </c>
      <c r="P43">
        <f t="shared" si="5"/>
        <v>0.4419138393295805</v>
      </c>
    </row>
    <row r="44" spans="1:16" x14ac:dyDescent="0.25">
      <c r="A44">
        <v>209.982</v>
      </c>
      <c r="B44">
        <v>0.45772893772893702</v>
      </c>
      <c r="C44">
        <v>0.45611721611721601</v>
      </c>
      <c r="D44">
        <v>0.45611721611721601</v>
      </c>
      <c r="E44">
        <v>0.45531135531135503</v>
      </c>
      <c r="F44">
        <v>0.45611721611721601</v>
      </c>
      <c r="H44">
        <f>B44-$J$1</f>
        <v>0.39263782630871175</v>
      </c>
      <c r="I44">
        <f t="shared" si="7"/>
        <v>0.39102610469699073</v>
      </c>
      <c r="J44">
        <f t="shared" si="7"/>
        <v>0.39102610469699073</v>
      </c>
      <c r="K44">
        <f t="shared" si="2"/>
        <v>0.39022024389112975</v>
      </c>
      <c r="L44">
        <f t="shared" si="1"/>
        <v>0.39102610469699073</v>
      </c>
      <c r="M44">
        <f t="shared" si="3"/>
        <v>0.39118727685816274</v>
      </c>
      <c r="N44">
        <f t="shared" si="6"/>
        <v>0.21800778967867548</v>
      </c>
      <c r="O44">
        <f t="shared" si="4"/>
        <v>0.17317948717948725</v>
      </c>
      <c r="P44">
        <f t="shared" si="5"/>
        <v>0.39718646621466769</v>
      </c>
    </row>
    <row r="45" spans="1:16" x14ac:dyDescent="0.25">
      <c r="A45">
        <v>215.00800000000001</v>
      </c>
      <c r="B45">
        <v>0.43919413919413902</v>
      </c>
      <c r="C45">
        <v>0.43516483516483501</v>
      </c>
      <c r="D45">
        <v>0.42871794871794799</v>
      </c>
      <c r="E45">
        <v>0.43355311355311299</v>
      </c>
      <c r="F45">
        <v>0.43516483516483501</v>
      </c>
      <c r="H45">
        <f>B45-$J$1</f>
        <v>0.37410302777391374</v>
      </c>
      <c r="I45">
        <f t="shared" si="7"/>
        <v>0.37007372374460973</v>
      </c>
      <c r="J45">
        <f t="shared" si="7"/>
        <v>0.36362683729772272</v>
      </c>
      <c r="K45">
        <f t="shared" si="2"/>
        <v>0.36846200213288771</v>
      </c>
      <c r="L45">
        <f t="shared" si="1"/>
        <v>0.37007372374460973</v>
      </c>
      <c r="M45">
        <f t="shared" si="3"/>
        <v>0.36926786293874869</v>
      </c>
      <c r="N45">
        <f t="shared" si="6"/>
        <v>0.21800778967867548</v>
      </c>
      <c r="O45">
        <f t="shared" si="4"/>
        <v>0.15126007326007321</v>
      </c>
      <c r="P45">
        <f t="shared" si="5"/>
        <v>0.34691437742435116</v>
      </c>
    </row>
    <row r="46" spans="1:16" x14ac:dyDescent="0.25">
      <c r="A46">
        <v>219.99</v>
      </c>
      <c r="B46">
        <v>0.402930402930402</v>
      </c>
      <c r="C46">
        <v>0.40776556776556699</v>
      </c>
      <c r="D46">
        <v>0.40857142857142797</v>
      </c>
      <c r="E46">
        <v>0.40212454212454202</v>
      </c>
      <c r="F46">
        <v>0.40857142857142797</v>
      </c>
      <c r="H46">
        <f>B46-$J$1</f>
        <v>0.33783929151017672</v>
      </c>
      <c r="I46">
        <f t="shared" si="7"/>
        <v>0.34267445634534172</v>
      </c>
      <c r="J46">
        <f t="shared" si="7"/>
        <v>0.3434803171512027</v>
      </c>
      <c r="K46">
        <f t="shared" si="2"/>
        <v>0.33703343070431674</v>
      </c>
      <c r="L46">
        <f t="shared" si="1"/>
        <v>0.3434803171512027</v>
      </c>
      <c r="M46">
        <f t="shared" si="3"/>
        <v>0.34090156257244814</v>
      </c>
      <c r="N46">
        <f t="shared" si="6"/>
        <v>0.21800778967867548</v>
      </c>
      <c r="O46">
        <f t="shared" si="4"/>
        <v>0.12289377289377265</v>
      </c>
      <c r="P46">
        <f t="shared" si="5"/>
        <v>0.28185638016629444</v>
      </c>
    </row>
    <row r="47" spans="1:16" x14ac:dyDescent="0.25">
      <c r="A47">
        <v>224.989</v>
      </c>
      <c r="B47">
        <v>0.37391941391941302</v>
      </c>
      <c r="C47">
        <v>0.37794871794871698</v>
      </c>
      <c r="D47">
        <v>0.37553113553113499</v>
      </c>
      <c r="E47">
        <v>0.37391941391941302</v>
      </c>
      <c r="F47">
        <v>0.37794871794871698</v>
      </c>
      <c r="H47">
        <f>B47-$J$1</f>
        <v>0.30882830249918775</v>
      </c>
      <c r="I47">
        <f t="shared" si="7"/>
        <v>0.31285760652849171</v>
      </c>
      <c r="J47">
        <f t="shared" si="7"/>
        <v>0.31044002411090971</v>
      </c>
      <c r="K47">
        <f t="shared" si="2"/>
        <v>0.30882830249918775</v>
      </c>
      <c r="L47">
        <f t="shared" si="1"/>
        <v>0.31285760652849171</v>
      </c>
      <c r="M47">
        <f t="shared" si="3"/>
        <v>0.31076236843325378</v>
      </c>
      <c r="N47">
        <f t="shared" si="6"/>
        <v>0.21800778967867548</v>
      </c>
      <c r="O47">
        <f t="shared" si="4"/>
        <v>9.2754578754578293E-2</v>
      </c>
      <c r="P47">
        <f t="shared" si="5"/>
        <v>0.21273225807960916</v>
      </c>
    </row>
    <row r="48" spans="1:16" x14ac:dyDescent="0.25">
      <c r="A48">
        <v>230.01</v>
      </c>
      <c r="B48">
        <v>0.342490842490842</v>
      </c>
      <c r="C48">
        <v>0.33604395604395598</v>
      </c>
      <c r="D48">
        <v>0.34007326007326</v>
      </c>
      <c r="E48">
        <v>0.33846153846153798</v>
      </c>
      <c r="F48">
        <v>0.33684981684981602</v>
      </c>
      <c r="H48">
        <f>B48-$J$1</f>
        <v>0.27739973107061672</v>
      </c>
      <c r="I48">
        <f t="shared" si="7"/>
        <v>0.2709528446237307</v>
      </c>
      <c r="J48">
        <f t="shared" si="7"/>
        <v>0.27498214865303472</v>
      </c>
      <c r="K48">
        <f t="shared" si="2"/>
        <v>0.2733704270413127</v>
      </c>
      <c r="L48">
        <f t="shared" si="1"/>
        <v>0.27175870542959074</v>
      </c>
      <c r="M48">
        <f t="shared" si="3"/>
        <v>0.27369277136365711</v>
      </c>
      <c r="N48">
        <f t="shared" si="6"/>
        <v>0.21800778967867548</v>
      </c>
      <c r="O48">
        <f t="shared" si="4"/>
        <v>5.5684981684981621E-2</v>
      </c>
      <c r="P48">
        <f t="shared" si="5"/>
        <v>0.12771328439010465</v>
      </c>
    </row>
    <row r="49" spans="1:16" x14ac:dyDescent="0.25">
      <c r="A49">
        <v>234.99799999999999</v>
      </c>
      <c r="B49">
        <v>0.30300366300366299</v>
      </c>
      <c r="C49">
        <v>0.30219780219780201</v>
      </c>
      <c r="D49">
        <v>0.298168498168498</v>
      </c>
      <c r="E49">
        <v>0.30300366300366299</v>
      </c>
      <c r="F49">
        <v>0.30380952380952297</v>
      </c>
      <c r="H49">
        <f>B49-$J$1</f>
        <v>0.23791255158343771</v>
      </c>
      <c r="I49">
        <f t="shared" si="7"/>
        <v>0.23710669077757673</v>
      </c>
      <c r="J49">
        <f t="shared" si="7"/>
        <v>0.23307738674827272</v>
      </c>
      <c r="K49">
        <f t="shared" si="2"/>
        <v>0.23791255158343771</v>
      </c>
      <c r="L49">
        <f t="shared" si="1"/>
        <v>0.2387184123892977</v>
      </c>
      <c r="M49">
        <f t="shared" si="3"/>
        <v>0.23694551861640453</v>
      </c>
      <c r="N49">
        <f t="shared" si="6"/>
        <v>0.21800778967867548</v>
      </c>
      <c r="O49">
        <f t="shared" si="4"/>
        <v>1.8937728937729048E-2</v>
      </c>
      <c r="P49">
        <f t="shared" si="5"/>
        <v>4.3433606123986723E-2</v>
      </c>
    </row>
    <row r="50" spans="1:16" x14ac:dyDescent="0.25">
      <c r="A50">
        <v>239.99100000000001</v>
      </c>
      <c r="B50">
        <v>0.26432234432234403</v>
      </c>
      <c r="C50">
        <v>0.26271062271062201</v>
      </c>
      <c r="D50">
        <v>0.26593406593406499</v>
      </c>
      <c r="E50">
        <v>0.26271062271062201</v>
      </c>
      <c r="F50">
        <v>0.269963369963369</v>
      </c>
      <c r="H50">
        <f>B50-$J$1</f>
        <v>0.19923123290211875</v>
      </c>
      <c r="I50">
        <f t="shared" si="7"/>
        <v>0.19761951129039673</v>
      </c>
      <c r="J50">
        <f t="shared" si="7"/>
        <v>0.20084295451383971</v>
      </c>
      <c r="K50">
        <f t="shared" si="2"/>
        <v>0.19761951129039673</v>
      </c>
      <c r="L50">
        <f t="shared" si="1"/>
        <v>0.20487225854314373</v>
      </c>
      <c r="M50">
        <f t="shared" si="3"/>
        <v>0.20003709370797912</v>
      </c>
      <c r="N50">
        <f t="shared" si="6"/>
        <v>0.21800778967867548</v>
      </c>
      <c r="O50">
        <f t="shared" si="4"/>
        <v>1.7970695970696365E-2</v>
      </c>
      <c r="P50">
        <f t="shared" si="5"/>
        <v>4.1215719853826327E-2</v>
      </c>
    </row>
    <row r="51" spans="1:16" x14ac:dyDescent="0.25">
      <c r="A51">
        <v>244.98400000000001</v>
      </c>
      <c r="B51">
        <v>0.23047619047619</v>
      </c>
      <c r="C51">
        <v>0.22886446886446801</v>
      </c>
      <c r="D51">
        <v>0.22967032967032899</v>
      </c>
      <c r="E51">
        <v>0.23047619047619</v>
      </c>
      <c r="F51">
        <v>0.23047619047619</v>
      </c>
      <c r="H51">
        <f>B51-$J$1</f>
        <v>0.16538507905596472</v>
      </c>
      <c r="I51">
        <f t="shared" si="7"/>
        <v>0.16377335744424276</v>
      </c>
      <c r="J51">
        <f t="shared" si="7"/>
        <v>0.16457921825010374</v>
      </c>
      <c r="K51">
        <f t="shared" si="2"/>
        <v>0.16538507905596472</v>
      </c>
      <c r="L51">
        <f t="shared" si="1"/>
        <v>0.16538507905596472</v>
      </c>
      <c r="M51">
        <f t="shared" si="3"/>
        <v>0.16490156257244815</v>
      </c>
      <c r="N51">
        <f t="shared" si="6"/>
        <v>0.21800778967867548</v>
      </c>
      <c r="O51">
        <f t="shared" si="4"/>
        <v>5.3106227106227338E-2</v>
      </c>
      <c r="P51">
        <f t="shared" si="5"/>
        <v>0.12179892100300932</v>
      </c>
    </row>
    <row r="52" spans="1:16" x14ac:dyDescent="0.25">
      <c r="A52">
        <v>249.988</v>
      </c>
      <c r="B52">
        <v>0.196630036630036</v>
      </c>
      <c r="C52">
        <v>0.19501831501831399</v>
      </c>
      <c r="D52">
        <v>0.19743589743589701</v>
      </c>
      <c r="E52">
        <v>0.195824175824175</v>
      </c>
      <c r="F52">
        <v>0.20065934065933999</v>
      </c>
      <c r="H52">
        <f>B52-$J$1</f>
        <v>0.13153892520981075</v>
      </c>
      <c r="I52">
        <f t="shared" si="7"/>
        <v>0.12992720359808874</v>
      </c>
      <c r="J52">
        <f t="shared" si="7"/>
        <v>0.13234478601567173</v>
      </c>
      <c r="K52">
        <f t="shared" si="2"/>
        <v>0.13073306440394972</v>
      </c>
      <c r="L52">
        <f t="shared" si="1"/>
        <v>0.13556822923911471</v>
      </c>
      <c r="M52">
        <f t="shared" si="3"/>
        <v>0.13202244169332714</v>
      </c>
      <c r="N52">
        <f t="shared" si="6"/>
        <v>0.21800778967867548</v>
      </c>
      <c r="O52">
        <f t="shared" si="4"/>
        <v>8.5985347985348348E-2</v>
      </c>
      <c r="P52">
        <f t="shared" si="5"/>
        <v>0.197207054188484</v>
      </c>
    </row>
    <row r="53" spans="1:16" x14ac:dyDescent="0.25">
      <c r="A53">
        <v>254.99299999999999</v>
      </c>
      <c r="B53">
        <v>0.17084249084249001</v>
      </c>
      <c r="C53">
        <v>0.16439560439560399</v>
      </c>
      <c r="D53">
        <v>0.165201465201465</v>
      </c>
      <c r="E53">
        <v>0.165201465201465</v>
      </c>
      <c r="F53">
        <v>0.16600732600732501</v>
      </c>
      <c r="H53">
        <f>B53-$J$1</f>
        <v>0.10575137942226474</v>
      </c>
      <c r="I53">
        <f t="shared" si="7"/>
        <v>9.930449297537873E-2</v>
      </c>
      <c r="J53">
        <f t="shared" si="7"/>
        <v>0.10011035378123974</v>
      </c>
      <c r="K53">
        <f t="shared" si="2"/>
        <v>0.10011035378123974</v>
      </c>
      <c r="L53">
        <f t="shared" si="1"/>
        <v>0.10091621458709975</v>
      </c>
      <c r="M53">
        <f t="shared" si="3"/>
        <v>0.10123855890944453</v>
      </c>
      <c r="N53">
        <f t="shared" si="6"/>
        <v>0.21800778967867548</v>
      </c>
      <c r="O53">
        <f t="shared" si="4"/>
        <v>0.11676923076923096</v>
      </c>
      <c r="P53">
        <f t="shared" si="5"/>
        <v>0.26780976712194238</v>
      </c>
    </row>
    <row r="54" spans="1:16" x14ac:dyDescent="0.25">
      <c r="A54">
        <v>260.00799999999998</v>
      </c>
      <c r="B54">
        <v>0.13457875457875401</v>
      </c>
      <c r="C54">
        <v>0.13780219780219699</v>
      </c>
      <c r="D54">
        <v>0.133772893772893</v>
      </c>
      <c r="E54">
        <v>0.13941391941391901</v>
      </c>
      <c r="F54">
        <v>0.13780219780219699</v>
      </c>
      <c r="H54">
        <f>B54-$J$1</f>
        <v>6.9487643158528747E-2</v>
      </c>
      <c r="I54">
        <f t="shared" si="7"/>
        <v>7.2711086381971726E-2</v>
      </c>
      <c r="J54">
        <f t="shared" si="7"/>
        <v>6.8681782352667739E-2</v>
      </c>
      <c r="K54">
        <f t="shared" si="2"/>
        <v>7.4322807993693743E-2</v>
      </c>
      <c r="L54">
        <f t="shared" si="1"/>
        <v>7.2711086381971726E-2</v>
      </c>
      <c r="M54">
        <f t="shared" si="3"/>
        <v>7.1582881253766731E-2</v>
      </c>
      <c r="N54">
        <f t="shared" si="6"/>
        <v>0.21800778967867548</v>
      </c>
      <c r="O54">
        <f t="shared" si="4"/>
        <v>0.14642490842490874</v>
      </c>
      <c r="P54">
        <f t="shared" si="5"/>
        <v>0.33582494607354701</v>
      </c>
    </row>
    <row r="55" spans="1:16" x14ac:dyDescent="0.25">
      <c r="A55">
        <v>265.00700000000001</v>
      </c>
      <c r="B55">
        <v>0.108791208791208</v>
      </c>
      <c r="C55">
        <v>0.109597069597069</v>
      </c>
      <c r="D55">
        <v>0.113626373626373</v>
      </c>
      <c r="E55">
        <v>0.111208791208791</v>
      </c>
      <c r="F55">
        <v>0.113626373626373</v>
      </c>
      <c r="H55">
        <f>B55-$J$1</f>
        <v>4.3700097370982738E-2</v>
      </c>
      <c r="I55">
        <f t="shared" si="7"/>
        <v>4.4505958176843732E-2</v>
      </c>
      <c r="J55">
        <f t="shared" si="7"/>
        <v>4.8535262206147733E-2</v>
      </c>
      <c r="K55">
        <f t="shared" si="2"/>
        <v>4.6117679788565735E-2</v>
      </c>
      <c r="L55">
        <f t="shared" si="1"/>
        <v>4.8535262206147733E-2</v>
      </c>
      <c r="M55">
        <f t="shared" si="3"/>
        <v>4.6278851949737534E-2</v>
      </c>
      <c r="N55">
        <f t="shared" si="6"/>
        <v>0.21800778967867548</v>
      </c>
      <c r="O55">
        <f t="shared" si="4"/>
        <v>0.17172893772893794</v>
      </c>
      <c r="P55">
        <f t="shared" si="5"/>
        <v>0.39385963680942654</v>
      </c>
    </row>
    <row r="56" spans="1:16" x14ac:dyDescent="0.25">
      <c r="A56">
        <v>270.005</v>
      </c>
      <c r="B56">
        <v>9.2673992673992595E-2</v>
      </c>
      <c r="C56">
        <v>9.1062271062270994E-2</v>
      </c>
      <c r="D56">
        <v>9.2673992673992595E-2</v>
      </c>
      <c r="E56">
        <v>9.8315018315018293E-2</v>
      </c>
      <c r="F56">
        <v>9.4285714285714195E-2</v>
      </c>
      <c r="H56">
        <f>B56-$J$1</f>
        <v>2.758288125376733E-2</v>
      </c>
      <c r="I56">
        <f t="shared" si="7"/>
        <v>2.597115964204573E-2</v>
      </c>
      <c r="J56">
        <f t="shared" si="7"/>
        <v>2.758288125376733E-2</v>
      </c>
      <c r="K56">
        <f t="shared" si="2"/>
        <v>3.3223906894793029E-2</v>
      </c>
      <c r="L56">
        <f t="shared" si="1"/>
        <v>2.9194602865488931E-2</v>
      </c>
      <c r="M56">
        <f t="shared" si="3"/>
        <v>2.8711086381972471E-2</v>
      </c>
      <c r="N56">
        <f t="shared" si="6"/>
        <v>0.21800778967867548</v>
      </c>
      <c r="O56">
        <f t="shared" si="4"/>
        <v>0.18929670329670301</v>
      </c>
      <c r="P56">
        <f t="shared" si="5"/>
        <v>0.43415123738401706</v>
      </c>
    </row>
    <row r="57" spans="1:16" x14ac:dyDescent="0.25">
      <c r="A57">
        <v>275.01</v>
      </c>
      <c r="B57">
        <v>8.2197802197802095E-2</v>
      </c>
      <c r="C57">
        <v>7.8974358974358894E-2</v>
      </c>
      <c r="D57">
        <v>8.3809523809523806E-2</v>
      </c>
      <c r="E57">
        <v>7.5750915750915707E-2</v>
      </c>
      <c r="F57">
        <v>7.9780219780219694E-2</v>
      </c>
      <c r="H57">
        <f>B57-$J$1</f>
        <v>1.710669077757683E-2</v>
      </c>
      <c r="I57">
        <f t="shared" si="7"/>
        <v>1.3883247554133629E-2</v>
      </c>
      <c r="J57">
        <f t="shared" si="7"/>
        <v>1.8718412389298542E-2</v>
      </c>
      <c r="K57">
        <f t="shared" si="2"/>
        <v>1.0659804330690442E-2</v>
      </c>
      <c r="L57">
        <f t="shared" si="1"/>
        <v>1.4689108359994429E-2</v>
      </c>
      <c r="M57">
        <f t="shared" si="3"/>
        <v>1.5011452682338774E-2</v>
      </c>
      <c r="N57">
        <f t="shared" si="6"/>
        <v>0.21800778967867548</v>
      </c>
      <c r="O57">
        <f t="shared" si="4"/>
        <v>0.20299633699633671</v>
      </c>
      <c r="P57">
        <f t="shared" si="5"/>
        <v>0.46557129287796473</v>
      </c>
    </row>
    <row r="58" spans="1:16" x14ac:dyDescent="0.25">
      <c r="A58">
        <v>279.99799999999999</v>
      </c>
      <c r="B58">
        <v>6.9304029304029305E-2</v>
      </c>
      <c r="C58">
        <v>6.8498168498168505E-2</v>
      </c>
      <c r="D58">
        <v>6.7692307692307593E-2</v>
      </c>
      <c r="E58">
        <v>6.5274725274725207E-2</v>
      </c>
      <c r="F58">
        <v>6.7692307692307593E-2</v>
      </c>
      <c r="H58">
        <f>B58-$J$1</f>
        <v>4.2129178838040404E-3</v>
      </c>
      <c r="I58">
        <f t="shared" si="7"/>
        <v>3.4070570779432402E-3</v>
      </c>
      <c r="J58">
        <f t="shared" si="7"/>
        <v>2.601196272082329E-3</v>
      </c>
      <c r="K58">
        <f t="shared" si="2"/>
        <v>1.8361385449994216E-4</v>
      </c>
      <c r="L58">
        <f t="shared" si="1"/>
        <v>2.601196272082329E-3</v>
      </c>
      <c r="M58">
        <f t="shared" si="3"/>
        <v>2.6011962720823762E-3</v>
      </c>
      <c r="N58">
        <f t="shared" si="6"/>
        <v>0.21800778967867548</v>
      </c>
      <c r="O58">
        <f t="shared" si="4"/>
        <v>0.2154065934065931</v>
      </c>
      <c r="P58">
        <f t="shared" si="5"/>
        <v>0.49403416667836431</v>
      </c>
    </row>
    <row r="59" spans="1:16" x14ac:dyDescent="0.25">
      <c r="A59">
        <v>285.01299999999998</v>
      </c>
      <c r="B59">
        <v>6.3663003663003606E-2</v>
      </c>
      <c r="C59">
        <v>6.4468864468864406E-2</v>
      </c>
      <c r="D59">
        <v>6.5274725274725207E-2</v>
      </c>
      <c r="E59">
        <v>5.8021978021977998E-2</v>
      </c>
      <c r="F59">
        <v>6.5274725274725207E-2</v>
      </c>
      <c r="H59">
        <f>B59-$J$1</f>
        <v>-1.4281077572216583E-3</v>
      </c>
      <c r="I59">
        <f t="shared" si="7"/>
        <v>-6.2224695136085806E-4</v>
      </c>
      <c r="J59">
        <f t="shared" si="7"/>
        <v>1.8361385449994216E-4</v>
      </c>
      <c r="K59">
        <f t="shared" si="2"/>
        <v>-7.0691333982472668E-3</v>
      </c>
      <c r="L59">
        <f t="shared" si="1"/>
        <v>1.8361385449994216E-4</v>
      </c>
      <c r="M59">
        <f t="shared" si="3"/>
        <v>-1.7504520795659797E-3</v>
      </c>
      <c r="N59">
        <f t="shared" si="6"/>
        <v>0.21800778967867548</v>
      </c>
      <c r="O59">
        <f t="shared" si="4"/>
        <v>0.21975824175824146</v>
      </c>
      <c r="P59">
        <f t="shared" si="5"/>
        <v>0.50401465489408881</v>
      </c>
    </row>
    <row r="60" spans="1:16" x14ac:dyDescent="0.25">
      <c r="A60">
        <v>289.97899999999998</v>
      </c>
      <c r="B60">
        <v>6.7692307692307593E-2</v>
      </c>
      <c r="C60">
        <v>6.8498168498168505E-2</v>
      </c>
      <c r="D60">
        <v>6.4468864468864406E-2</v>
      </c>
      <c r="E60">
        <v>6.9304029304029305E-2</v>
      </c>
      <c r="F60">
        <v>6.6080586080586007E-2</v>
      </c>
      <c r="H60">
        <f>B60-$J$1</f>
        <v>2.601196272082329E-3</v>
      </c>
      <c r="I60">
        <f t="shared" si="7"/>
        <v>3.4070570779432402E-3</v>
      </c>
      <c r="J60">
        <f t="shared" si="7"/>
        <v>-6.2224695136085806E-4</v>
      </c>
      <c r="K60">
        <f t="shared" si="2"/>
        <v>4.2129178838040404E-3</v>
      </c>
      <c r="L60">
        <f t="shared" si="1"/>
        <v>9.8947466036074239E-4</v>
      </c>
      <c r="M60">
        <f t="shared" si="3"/>
        <v>2.1176797885658987E-3</v>
      </c>
      <c r="N60">
        <f t="shared" si="6"/>
        <v>0.21800778967867548</v>
      </c>
      <c r="O60">
        <f t="shared" si="4"/>
        <v>0.21589010989010959</v>
      </c>
      <c r="P60">
        <f t="shared" si="5"/>
        <v>0.49514310981344478</v>
      </c>
    </row>
    <row r="61" spans="1:16" x14ac:dyDescent="0.25">
      <c r="A61">
        <v>294.99400000000003</v>
      </c>
      <c r="B61">
        <v>8.0586080586080494E-2</v>
      </c>
      <c r="C61">
        <v>7.4139194139194106E-2</v>
      </c>
      <c r="D61">
        <v>8.1391941391941294E-2</v>
      </c>
      <c r="E61">
        <v>7.9780219780219694E-2</v>
      </c>
      <c r="F61">
        <v>7.6556776556776507E-2</v>
      </c>
      <c r="H61">
        <f>B61-$J$1</f>
        <v>1.549496916585523E-2</v>
      </c>
      <c r="I61">
        <f t="shared" si="7"/>
        <v>9.0480827189688418E-3</v>
      </c>
      <c r="J61">
        <f t="shared" si="7"/>
        <v>1.630082997171603E-2</v>
      </c>
      <c r="K61">
        <f t="shared" si="2"/>
        <v>1.4689108359994429E-2</v>
      </c>
      <c r="L61">
        <f t="shared" si="1"/>
        <v>1.1465665136551242E-2</v>
      </c>
      <c r="M61">
        <f t="shared" si="3"/>
        <v>1.3399731070617154E-2</v>
      </c>
      <c r="N61">
        <f t="shared" si="6"/>
        <v>0.21800778967867548</v>
      </c>
      <c r="O61">
        <f t="shared" si="4"/>
        <v>0.20460805860805834</v>
      </c>
      <c r="P61">
        <f t="shared" si="5"/>
        <v>0.46926776999489972</v>
      </c>
    </row>
    <row r="62" spans="1:16" x14ac:dyDescent="0.25">
      <c r="A62">
        <v>299.99299999999999</v>
      </c>
      <c r="B62">
        <v>9.3479853479853395E-2</v>
      </c>
      <c r="C62">
        <v>9.1868131868131794E-2</v>
      </c>
      <c r="D62">
        <v>8.4615384615384606E-2</v>
      </c>
      <c r="E62">
        <v>9.1062271062270994E-2</v>
      </c>
      <c r="F62">
        <v>9.0256410256410194E-2</v>
      </c>
      <c r="H62">
        <f>B62-$J$1</f>
        <v>2.838874205962813E-2</v>
      </c>
      <c r="I62">
        <f t="shared" si="7"/>
        <v>2.677702044790653E-2</v>
      </c>
      <c r="J62">
        <f t="shared" si="7"/>
        <v>1.9524273195159342E-2</v>
      </c>
      <c r="K62">
        <f t="shared" si="2"/>
        <v>2.597115964204573E-2</v>
      </c>
      <c r="L62">
        <f t="shared" si="1"/>
        <v>2.5165298836184929E-2</v>
      </c>
      <c r="M62">
        <f t="shared" si="3"/>
        <v>2.5165298836184936E-2</v>
      </c>
      <c r="N62">
        <f t="shared" si="6"/>
        <v>0.21800778967867548</v>
      </c>
      <c r="O62">
        <f t="shared" si="4"/>
        <v>0.19284249084249055</v>
      </c>
      <c r="P62">
        <f t="shared" si="5"/>
        <v>0.44228348704127407</v>
      </c>
    </row>
    <row r="63" spans="1:16" x14ac:dyDescent="0.25">
      <c r="A63">
        <v>304.98599999999999</v>
      </c>
      <c r="B63">
        <v>0.113626373626373</v>
      </c>
      <c r="C63">
        <v>0.11040293040293001</v>
      </c>
      <c r="D63">
        <v>0.116043956043956</v>
      </c>
      <c r="E63">
        <v>0.115238095238095</v>
      </c>
      <c r="F63">
        <v>0.116043956043956</v>
      </c>
      <c r="H63">
        <f>B63-$J$1</f>
        <v>4.8535262206147733E-2</v>
      </c>
      <c r="I63">
        <f t="shared" si="7"/>
        <v>4.5311818982704741E-2</v>
      </c>
      <c r="J63">
        <f t="shared" si="7"/>
        <v>5.0952844623730731E-2</v>
      </c>
      <c r="K63">
        <f t="shared" si="2"/>
        <v>5.0146983817869736E-2</v>
      </c>
      <c r="L63">
        <f t="shared" si="1"/>
        <v>5.0952844623730731E-2</v>
      </c>
      <c r="M63">
        <f t="shared" si="3"/>
        <v>4.9179950850836741E-2</v>
      </c>
      <c r="N63">
        <f t="shared" si="6"/>
        <v>0.21800778967867548</v>
      </c>
      <c r="O63">
        <f t="shared" si="4"/>
        <v>0.16882783882783875</v>
      </c>
      <c r="P63">
        <f t="shared" si="5"/>
        <v>0.3872059779989428</v>
      </c>
    </row>
    <row r="64" spans="1:16" x14ac:dyDescent="0.25">
      <c r="A64">
        <v>310.00099999999998</v>
      </c>
      <c r="B64">
        <v>0.13699633699633701</v>
      </c>
      <c r="C64">
        <v>0.13538461538461499</v>
      </c>
      <c r="D64">
        <v>0.132967032967032</v>
      </c>
      <c r="E64">
        <v>0.13538461538461499</v>
      </c>
      <c r="F64">
        <v>0.141025641025641</v>
      </c>
      <c r="H64">
        <f>B64-$J$1</f>
        <v>7.1905225576111745E-2</v>
      </c>
      <c r="I64">
        <f t="shared" si="7"/>
        <v>7.0293503964389728E-2</v>
      </c>
      <c r="J64">
        <f t="shared" si="7"/>
        <v>6.7875921546806731E-2</v>
      </c>
      <c r="K64">
        <f t="shared" si="2"/>
        <v>7.0293503964389728E-2</v>
      </c>
      <c r="L64">
        <f t="shared" si="1"/>
        <v>7.5934529605415732E-2</v>
      </c>
      <c r="M64">
        <f t="shared" si="3"/>
        <v>7.126053693142273E-2</v>
      </c>
      <c r="N64">
        <f t="shared" si="6"/>
        <v>0.21800778967867548</v>
      </c>
      <c r="O64">
        <f t="shared" si="4"/>
        <v>0.14674725274725275</v>
      </c>
      <c r="P64">
        <f t="shared" si="5"/>
        <v>0.33656424149693331</v>
      </c>
    </row>
    <row r="65" spans="1:16" x14ac:dyDescent="0.25">
      <c r="A65">
        <v>315.01100000000002</v>
      </c>
      <c r="B65">
        <v>0.167619047619047</v>
      </c>
      <c r="C65">
        <v>0.16278388278388201</v>
      </c>
      <c r="D65">
        <v>0.16842490842490801</v>
      </c>
      <c r="E65">
        <v>0.17003663003663</v>
      </c>
      <c r="F65">
        <v>0.17084249084249001</v>
      </c>
      <c r="H65">
        <f>B65-$J$1</f>
        <v>0.10252793619882174</v>
      </c>
      <c r="I65">
        <f t="shared" si="7"/>
        <v>9.7692771363656741E-2</v>
      </c>
      <c r="J65">
        <f t="shared" si="7"/>
        <v>0.10333379700468275</v>
      </c>
      <c r="K65">
        <f t="shared" si="2"/>
        <v>0.10494551861640473</v>
      </c>
      <c r="L65">
        <f t="shared" si="1"/>
        <v>0.10575137942226474</v>
      </c>
      <c r="M65">
        <f t="shared" si="3"/>
        <v>0.10285028052116614</v>
      </c>
      <c r="N65">
        <f t="shared" si="6"/>
        <v>0.21800778967867548</v>
      </c>
      <c r="O65">
        <f t="shared" si="4"/>
        <v>0.11515750915750934</v>
      </c>
      <c r="P65">
        <f t="shared" si="5"/>
        <v>0.26411329000500738</v>
      </c>
    </row>
    <row r="66" spans="1:16" x14ac:dyDescent="0.25">
      <c r="A66">
        <v>320.00400000000002</v>
      </c>
      <c r="B66">
        <v>0.20307692307692299</v>
      </c>
      <c r="C66">
        <v>0.203882783882783</v>
      </c>
      <c r="D66">
        <v>0.20307692307692299</v>
      </c>
      <c r="E66">
        <v>0.199047619047619</v>
      </c>
      <c r="F66">
        <v>0.201465201465201</v>
      </c>
      <c r="H66">
        <f>B66-$J$1</f>
        <v>0.13798581165669771</v>
      </c>
      <c r="I66">
        <f t="shared" si="7"/>
        <v>0.13879167246255775</v>
      </c>
      <c r="J66">
        <f t="shared" si="7"/>
        <v>0.13798581165669771</v>
      </c>
      <c r="K66">
        <f t="shared" si="2"/>
        <v>0.13395650762739375</v>
      </c>
      <c r="L66">
        <f t="shared" si="2"/>
        <v>0.13637409004497575</v>
      </c>
      <c r="M66">
        <f t="shared" si="3"/>
        <v>0.13701877868966453</v>
      </c>
      <c r="N66">
        <f t="shared" si="6"/>
        <v>0.21800778967867548</v>
      </c>
      <c r="O66">
        <f t="shared" si="4"/>
        <v>8.0989010989010957E-2</v>
      </c>
      <c r="P66">
        <f t="shared" si="5"/>
        <v>0.18574797512598451</v>
      </c>
    </row>
    <row r="67" spans="1:16" x14ac:dyDescent="0.25">
      <c r="A67">
        <v>325.00900000000001</v>
      </c>
      <c r="B67">
        <v>0.22967032967032899</v>
      </c>
      <c r="C67">
        <v>0.237728937728937</v>
      </c>
      <c r="D67">
        <v>0.24014652014651999</v>
      </c>
      <c r="E67">
        <v>0.23934065934065901</v>
      </c>
      <c r="F67">
        <v>0.24014652014651999</v>
      </c>
      <c r="H67">
        <f>B67-$J$1</f>
        <v>0.16457921825010374</v>
      </c>
      <c r="I67">
        <f t="shared" si="7"/>
        <v>0.17263782630871172</v>
      </c>
      <c r="J67">
        <f t="shared" si="7"/>
        <v>0.17505540872629471</v>
      </c>
      <c r="K67">
        <f t="shared" ref="K67:L80" si="8">E67-$J$1</f>
        <v>0.17424954792043373</v>
      </c>
      <c r="L67">
        <f t="shared" si="8"/>
        <v>0.17505540872629471</v>
      </c>
      <c r="M67">
        <f t="shared" ref="M67:M80" si="9">AVERAGE(H67:L67)</f>
        <v>0.17231548198636776</v>
      </c>
      <c r="N67">
        <f t="shared" si="6"/>
        <v>0.21800778967867548</v>
      </c>
      <c r="O67">
        <f t="shared" ref="O67:O80" si="10">ABS(M67-N67)</f>
        <v>4.5692307692307726E-2</v>
      </c>
      <c r="P67">
        <f t="shared" ref="P67:P80" si="11">ABS(M67/N67/2-0.5)</f>
        <v>0.10479512626510779</v>
      </c>
    </row>
    <row r="68" spans="1:16" x14ac:dyDescent="0.25">
      <c r="A68">
        <v>330.00700000000001</v>
      </c>
      <c r="B68">
        <v>0.27399267399267402</v>
      </c>
      <c r="C68">
        <v>0.27560439560439498</v>
      </c>
      <c r="D68">
        <v>0.274798534798534</v>
      </c>
      <c r="E68">
        <v>0.274798534798534</v>
      </c>
      <c r="F68">
        <v>0.27560439560439498</v>
      </c>
      <c r="H68">
        <f>B68-$J$1</f>
        <v>0.20890156257244874</v>
      </c>
      <c r="I68">
        <f t="shared" si="7"/>
        <v>0.2105132841841697</v>
      </c>
      <c r="J68">
        <f t="shared" si="7"/>
        <v>0.20970742337830872</v>
      </c>
      <c r="K68">
        <f t="shared" si="8"/>
        <v>0.20970742337830872</v>
      </c>
      <c r="L68">
        <f t="shared" si="8"/>
        <v>0.2105132841841697</v>
      </c>
      <c r="M68">
        <f t="shared" si="9"/>
        <v>0.20986859553948109</v>
      </c>
      <c r="N68">
        <f t="shared" ref="N68:N80" si="12">$N$2</f>
        <v>0.21800778967867548</v>
      </c>
      <c r="O68">
        <f t="shared" si="10"/>
        <v>8.1391941391943945E-3</v>
      </c>
      <c r="P68">
        <f t="shared" si="11"/>
        <v>1.8667209440522414E-2</v>
      </c>
    </row>
    <row r="69" spans="1:16" x14ac:dyDescent="0.25">
      <c r="A69">
        <v>334.995</v>
      </c>
      <c r="B69">
        <v>0.31509157509157498</v>
      </c>
      <c r="C69">
        <v>0.31347985347985302</v>
      </c>
      <c r="D69">
        <v>0.31267399267399199</v>
      </c>
      <c r="E69">
        <v>0.311868131868131</v>
      </c>
      <c r="F69">
        <v>0.30945054945054901</v>
      </c>
      <c r="H69">
        <f>B69-$J$1</f>
        <v>0.2500004636713497</v>
      </c>
      <c r="I69">
        <f t="shared" si="7"/>
        <v>0.24838874205962774</v>
      </c>
      <c r="J69">
        <f t="shared" si="7"/>
        <v>0.24758288125376671</v>
      </c>
      <c r="K69">
        <f t="shared" si="8"/>
        <v>0.24677702044790573</v>
      </c>
      <c r="L69">
        <f t="shared" si="8"/>
        <v>0.24435943803032373</v>
      </c>
      <c r="M69">
        <f t="shared" si="9"/>
        <v>0.2474217090925947</v>
      </c>
      <c r="N69">
        <f t="shared" si="12"/>
        <v>0.21800778967867548</v>
      </c>
      <c r="O69">
        <f t="shared" si="10"/>
        <v>2.9413919413919215E-2</v>
      </c>
      <c r="P69">
        <f t="shared" si="11"/>
        <v>6.7460707384063623E-2</v>
      </c>
    </row>
    <row r="70" spans="1:16" x14ac:dyDescent="0.25">
      <c r="A70">
        <v>339.99400000000003</v>
      </c>
      <c r="B70">
        <v>0.34652014652014601</v>
      </c>
      <c r="C70">
        <v>0.34410256410256401</v>
      </c>
      <c r="D70">
        <v>0.342490842490842</v>
      </c>
      <c r="E70">
        <v>0.34732600732600699</v>
      </c>
      <c r="F70">
        <v>0.35054945054945003</v>
      </c>
      <c r="H70">
        <f>B70-$J$1</f>
        <v>0.28142903509992073</v>
      </c>
      <c r="I70">
        <f t="shared" si="7"/>
        <v>0.27901145268233873</v>
      </c>
      <c r="J70">
        <f t="shared" si="7"/>
        <v>0.27739973107061672</v>
      </c>
      <c r="K70">
        <f t="shared" si="8"/>
        <v>0.28223489590578171</v>
      </c>
      <c r="L70">
        <f t="shared" si="8"/>
        <v>0.28545833912922475</v>
      </c>
      <c r="M70">
        <f t="shared" si="9"/>
        <v>0.2811066907775765</v>
      </c>
      <c r="N70">
        <f t="shared" si="12"/>
        <v>0.21800778967867548</v>
      </c>
      <c r="O70">
        <f t="shared" si="10"/>
        <v>6.3098901098901011E-2</v>
      </c>
      <c r="P70">
        <f t="shared" si="11"/>
        <v>0.14471707912800569</v>
      </c>
    </row>
    <row r="71" spans="1:16" x14ac:dyDescent="0.25">
      <c r="A71">
        <v>344.98200000000003</v>
      </c>
      <c r="B71">
        <v>0.38358974358974302</v>
      </c>
      <c r="C71">
        <v>0.37794871794871698</v>
      </c>
      <c r="D71">
        <v>0.379560439560439</v>
      </c>
      <c r="E71">
        <v>0.38036630036629998</v>
      </c>
      <c r="F71">
        <v>0.38117216117216102</v>
      </c>
      <c r="H71">
        <f>B71-$J$1</f>
        <v>0.31849863216951774</v>
      </c>
      <c r="I71">
        <f t="shared" si="7"/>
        <v>0.31285760652849171</v>
      </c>
      <c r="J71">
        <f t="shared" si="7"/>
        <v>0.31446932814021372</v>
      </c>
      <c r="K71">
        <f t="shared" si="8"/>
        <v>0.3152751889460747</v>
      </c>
      <c r="L71">
        <f t="shared" si="8"/>
        <v>0.31608104975193574</v>
      </c>
      <c r="M71">
        <f t="shared" si="9"/>
        <v>0.31543636110724671</v>
      </c>
      <c r="N71">
        <f t="shared" si="12"/>
        <v>0.21800778967867548</v>
      </c>
      <c r="O71">
        <f t="shared" si="10"/>
        <v>9.7428571428571226E-2</v>
      </c>
      <c r="P71">
        <f t="shared" si="11"/>
        <v>0.22345204171872135</v>
      </c>
    </row>
    <row r="72" spans="1:16" x14ac:dyDescent="0.25">
      <c r="A72">
        <v>350.00200000000001</v>
      </c>
      <c r="B72">
        <v>0.41340659340659303</v>
      </c>
      <c r="C72">
        <v>0.405347985347985</v>
      </c>
      <c r="D72">
        <v>0.40373626373626298</v>
      </c>
      <c r="E72">
        <v>0.40695970695970601</v>
      </c>
      <c r="F72">
        <v>0.41018315018314999</v>
      </c>
      <c r="H72">
        <f>B72-$J$1</f>
        <v>0.34831548198636775</v>
      </c>
      <c r="I72">
        <f t="shared" si="7"/>
        <v>0.34025687392775972</v>
      </c>
      <c r="J72">
        <f t="shared" si="7"/>
        <v>0.3386451523160377</v>
      </c>
      <c r="K72">
        <f t="shared" si="8"/>
        <v>0.34186859553948074</v>
      </c>
      <c r="L72">
        <f t="shared" si="8"/>
        <v>0.34509203876292471</v>
      </c>
      <c r="M72">
        <f t="shared" si="9"/>
        <v>0.34283562850651411</v>
      </c>
      <c r="N72">
        <f t="shared" si="12"/>
        <v>0.21800778967867548</v>
      </c>
      <c r="O72">
        <f t="shared" si="10"/>
        <v>0.12482783882783863</v>
      </c>
      <c r="P72">
        <f t="shared" si="11"/>
        <v>0.28629215270661657</v>
      </c>
    </row>
    <row r="73" spans="1:16" x14ac:dyDescent="0.25">
      <c r="A73">
        <v>355.00099999999998</v>
      </c>
      <c r="B73">
        <v>0.43435897435897403</v>
      </c>
      <c r="C73">
        <v>0.43677655677655602</v>
      </c>
      <c r="D73">
        <v>0.43838827838827799</v>
      </c>
      <c r="E73">
        <v>0.43919413919413902</v>
      </c>
      <c r="F73">
        <v>0.43355311355311299</v>
      </c>
      <c r="H73">
        <f>B73-$J$1</f>
        <v>0.36926786293874875</v>
      </c>
      <c r="I73">
        <f t="shared" si="7"/>
        <v>0.37168544535633075</v>
      </c>
      <c r="J73">
        <f t="shared" si="7"/>
        <v>0.37329716696805271</v>
      </c>
      <c r="K73">
        <f t="shared" si="8"/>
        <v>0.37410302777391374</v>
      </c>
      <c r="L73">
        <f t="shared" si="8"/>
        <v>0.36846200213288771</v>
      </c>
      <c r="M73">
        <f t="shared" si="9"/>
        <v>0.37136310103398673</v>
      </c>
      <c r="N73">
        <f t="shared" si="12"/>
        <v>0.21800778967867548</v>
      </c>
      <c r="O73">
        <f t="shared" si="10"/>
        <v>0.15335531135531125</v>
      </c>
      <c r="P73">
        <f t="shared" si="11"/>
        <v>0.35171979767636663</v>
      </c>
    </row>
    <row r="74" spans="1:16" x14ac:dyDescent="0.25">
      <c r="A74">
        <f>B86+360</f>
        <v>360.01100000000002</v>
      </c>
      <c r="B74">
        <v>0.46256410256410202</v>
      </c>
      <c r="C74">
        <v>0.45692307692307599</v>
      </c>
      <c r="D74">
        <v>0.45934065934065899</v>
      </c>
      <c r="E74">
        <v>0.45531135531135503</v>
      </c>
      <c r="F74">
        <v>0.46014652014652002</v>
      </c>
      <c r="H74">
        <f>B74-$J$1</f>
        <v>0.39747299114387674</v>
      </c>
      <c r="I74">
        <f t="shared" si="7"/>
        <v>0.39183196550285071</v>
      </c>
      <c r="J74">
        <f t="shared" si="7"/>
        <v>0.39424954792043371</v>
      </c>
      <c r="K74">
        <f t="shared" si="8"/>
        <v>0.39022024389112975</v>
      </c>
      <c r="L74">
        <f t="shared" si="8"/>
        <v>0.39505540872629474</v>
      </c>
      <c r="M74">
        <f t="shared" si="9"/>
        <v>0.39376603143691713</v>
      </c>
      <c r="N74">
        <f t="shared" si="12"/>
        <v>0.21800778967867548</v>
      </c>
      <c r="O74">
        <f t="shared" si="10"/>
        <v>0.17575824175824165</v>
      </c>
      <c r="P74">
        <f t="shared" si="11"/>
        <v>0.4031008296017633</v>
      </c>
    </row>
    <row r="75" spans="1:16" x14ac:dyDescent="0.25">
      <c r="A75">
        <f t="shared" ref="A75:A80" si="13">B87+360</f>
        <v>365.00400000000002</v>
      </c>
      <c r="B75">
        <v>0.47465201465201401</v>
      </c>
      <c r="C75">
        <v>0.48029304029303999</v>
      </c>
      <c r="D75">
        <v>0.47384615384615297</v>
      </c>
      <c r="E75">
        <v>0.48029304029303999</v>
      </c>
      <c r="F75">
        <v>0.47304029304029299</v>
      </c>
      <c r="H75">
        <f>B75-$J$1</f>
        <v>0.40956090323178873</v>
      </c>
      <c r="I75">
        <f t="shared" si="7"/>
        <v>0.41520192887281471</v>
      </c>
      <c r="J75">
        <f t="shared" si="7"/>
        <v>0.40875504242592769</v>
      </c>
      <c r="K75">
        <f t="shared" si="8"/>
        <v>0.41520192887281471</v>
      </c>
      <c r="L75">
        <f t="shared" si="8"/>
        <v>0.40794918162006771</v>
      </c>
      <c r="M75">
        <f t="shared" si="9"/>
        <v>0.41133379700468276</v>
      </c>
      <c r="N75">
        <f t="shared" si="12"/>
        <v>0.21800778967867548</v>
      </c>
      <c r="O75">
        <f t="shared" si="10"/>
        <v>0.19332600732600727</v>
      </c>
      <c r="P75">
        <f t="shared" si="11"/>
        <v>0.4433924301763551</v>
      </c>
    </row>
    <row r="76" spans="1:16" x14ac:dyDescent="0.25">
      <c r="A76">
        <f t="shared" si="13"/>
        <v>369.99799999999999</v>
      </c>
      <c r="B76">
        <v>0.48754578754578698</v>
      </c>
      <c r="C76">
        <v>0.48271062271062198</v>
      </c>
      <c r="D76">
        <v>0.481904761904761</v>
      </c>
      <c r="E76">
        <v>0.489157509157509</v>
      </c>
      <c r="F76">
        <v>0.48996336996336898</v>
      </c>
      <c r="H76">
        <f>B76-$J$1</f>
        <v>0.4224546761255617</v>
      </c>
      <c r="I76">
        <f t="shared" si="7"/>
        <v>0.41761951129039671</v>
      </c>
      <c r="J76">
        <f t="shared" si="7"/>
        <v>0.41681365048453572</v>
      </c>
      <c r="K76">
        <f t="shared" si="8"/>
        <v>0.42406639773728372</v>
      </c>
      <c r="L76">
        <f t="shared" si="8"/>
        <v>0.4248722585431437</v>
      </c>
      <c r="M76">
        <f t="shared" si="9"/>
        <v>0.42116529883618431</v>
      </c>
      <c r="N76">
        <f t="shared" si="12"/>
        <v>0.21800778967867548</v>
      </c>
      <c r="O76">
        <f t="shared" si="10"/>
        <v>0.20315750915750883</v>
      </c>
      <c r="P76">
        <f t="shared" si="11"/>
        <v>0.46594094058965807</v>
      </c>
    </row>
    <row r="77" spans="1:16" x14ac:dyDescent="0.25">
      <c r="A77">
        <f t="shared" si="13"/>
        <v>375.00700000000001</v>
      </c>
      <c r="B77">
        <v>0.486739926739926</v>
      </c>
      <c r="C77">
        <v>0.48835164835164802</v>
      </c>
      <c r="D77">
        <v>0.486739926739926</v>
      </c>
      <c r="E77">
        <v>0.486739926739926</v>
      </c>
      <c r="F77">
        <v>0.48593406593406502</v>
      </c>
      <c r="H77">
        <f>B77-$J$1</f>
        <v>0.42164881531970072</v>
      </c>
      <c r="I77">
        <f t="shared" si="7"/>
        <v>0.42326053693142274</v>
      </c>
      <c r="J77">
        <f t="shared" si="7"/>
        <v>0.42164881531970072</v>
      </c>
      <c r="K77">
        <f t="shared" si="8"/>
        <v>0.42164881531970072</v>
      </c>
      <c r="L77">
        <f t="shared" si="8"/>
        <v>0.42084295451383974</v>
      </c>
      <c r="M77">
        <f t="shared" si="9"/>
        <v>0.42180998748087289</v>
      </c>
      <c r="N77">
        <f t="shared" si="12"/>
        <v>0.21800778967867548</v>
      </c>
      <c r="O77">
        <f t="shared" si="10"/>
        <v>0.20380219780219741</v>
      </c>
      <c r="P77">
        <f t="shared" si="11"/>
        <v>0.467419531436432</v>
      </c>
    </row>
    <row r="78" spans="1:16" x14ac:dyDescent="0.25">
      <c r="A78">
        <f t="shared" si="13"/>
        <v>380.00599999999997</v>
      </c>
      <c r="B78">
        <v>0.48593406593406502</v>
      </c>
      <c r="C78">
        <v>0.48996336996336898</v>
      </c>
      <c r="D78">
        <v>0.48835164835164802</v>
      </c>
      <c r="E78">
        <v>0.48754578754578698</v>
      </c>
      <c r="F78">
        <v>0.49076923076923001</v>
      </c>
      <c r="H78">
        <f>B78-$J$1</f>
        <v>0.42084295451383974</v>
      </c>
      <c r="I78">
        <f t="shared" si="7"/>
        <v>0.4248722585431437</v>
      </c>
      <c r="J78">
        <f t="shared" si="7"/>
        <v>0.42326053693142274</v>
      </c>
      <c r="K78">
        <f t="shared" si="8"/>
        <v>0.4224546761255617</v>
      </c>
      <c r="L78">
        <f t="shared" si="8"/>
        <v>0.42567811934900474</v>
      </c>
      <c r="M78">
        <f t="shared" si="9"/>
        <v>0.42342170909259452</v>
      </c>
      <c r="N78">
        <f t="shared" si="12"/>
        <v>0.21800778967867548</v>
      </c>
      <c r="O78">
        <f t="shared" si="10"/>
        <v>0.20541391941391904</v>
      </c>
      <c r="P78">
        <f t="shared" si="11"/>
        <v>0.47111600855336699</v>
      </c>
    </row>
    <row r="79" spans="1:16" x14ac:dyDescent="0.25">
      <c r="A79">
        <f t="shared" si="13"/>
        <v>385.005</v>
      </c>
      <c r="B79">
        <v>0.47384615384615297</v>
      </c>
      <c r="C79">
        <v>0.47062271062270999</v>
      </c>
      <c r="D79">
        <v>0.48029304029303999</v>
      </c>
      <c r="E79">
        <v>0.47706959706959701</v>
      </c>
      <c r="F79">
        <v>0.47384615384615297</v>
      </c>
      <c r="H79">
        <f>B79-$J$1</f>
        <v>0.40875504242592769</v>
      </c>
      <c r="I79">
        <f t="shared" si="7"/>
        <v>0.40553159920248472</v>
      </c>
      <c r="J79">
        <f t="shared" si="7"/>
        <v>0.41520192887281471</v>
      </c>
      <c r="K79">
        <f t="shared" si="8"/>
        <v>0.41197848564937173</v>
      </c>
      <c r="L79">
        <f t="shared" si="8"/>
        <v>0.40875504242592769</v>
      </c>
      <c r="M79">
        <f t="shared" si="9"/>
        <v>0.41004441971530536</v>
      </c>
      <c r="N79">
        <f t="shared" si="12"/>
        <v>0.21800778967867548</v>
      </c>
      <c r="O79">
        <f t="shared" si="10"/>
        <v>0.19203663003662988</v>
      </c>
      <c r="P79">
        <f t="shared" si="11"/>
        <v>0.44043524848280691</v>
      </c>
    </row>
    <row r="80" spans="1:16" x14ac:dyDescent="0.25">
      <c r="A80">
        <f t="shared" si="13"/>
        <v>389.99799999999999</v>
      </c>
      <c r="B80">
        <v>0.46256410256410202</v>
      </c>
      <c r="C80">
        <v>0.46095238095238</v>
      </c>
      <c r="D80">
        <v>0.46417582417582398</v>
      </c>
      <c r="E80">
        <v>0.46417582417582398</v>
      </c>
      <c r="F80">
        <v>0.46095238095238</v>
      </c>
      <c r="H80">
        <f>B80-$J$1</f>
        <v>0.39747299114387674</v>
      </c>
      <c r="I80">
        <f t="shared" si="7"/>
        <v>0.39586126953215472</v>
      </c>
      <c r="J80">
        <f t="shared" si="7"/>
        <v>0.3990847127555987</v>
      </c>
      <c r="K80">
        <f t="shared" si="8"/>
        <v>0.3990847127555987</v>
      </c>
      <c r="L80">
        <f t="shared" si="8"/>
        <v>0.39586126953215472</v>
      </c>
      <c r="M80">
        <f t="shared" si="9"/>
        <v>0.39747299114387669</v>
      </c>
      <c r="N80">
        <f t="shared" si="12"/>
        <v>0.21800778967867548</v>
      </c>
      <c r="O80">
        <f t="shared" si="10"/>
        <v>0.1794652014652012</v>
      </c>
      <c r="P80">
        <f t="shared" si="11"/>
        <v>0.41160272697071354</v>
      </c>
    </row>
    <row r="86" spans="2:2" x14ac:dyDescent="0.25">
      <c r="B86">
        <v>1.0999999999999999E-2</v>
      </c>
    </row>
    <row r="87" spans="2:2" x14ac:dyDescent="0.25">
      <c r="B87">
        <v>5.0039999999999996</v>
      </c>
    </row>
    <row r="88" spans="2:2" x14ac:dyDescent="0.25">
      <c r="B88">
        <v>9.9979999999999993</v>
      </c>
    </row>
    <row r="89" spans="2:2" x14ac:dyDescent="0.25">
      <c r="B89">
        <v>15.007</v>
      </c>
    </row>
    <row r="90" spans="2:2" x14ac:dyDescent="0.25">
      <c r="B90">
        <v>20.006</v>
      </c>
    </row>
    <row r="91" spans="2:2" x14ac:dyDescent="0.25">
      <c r="B91">
        <v>25.004999999999999</v>
      </c>
    </row>
    <row r="92" spans="2:2" x14ac:dyDescent="0.25">
      <c r="B92">
        <v>29.998000000000001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2026-09-24T16:12:23Z</dcterms:created>
  <dcterms:modified xsi:type="dcterms:W3CDTF">2026-09-24T16:12:24Z</dcterms:modified>
</cp:coreProperties>
</file>